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94c0943bd02416/Documents/2026/Celtiis/"/>
    </mc:Choice>
  </mc:AlternateContent>
  <xr:revisionPtr revIDLastSave="0" documentId="8_{57458AE1-6649-414C-B8A0-6EA096A7F796}" xr6:coauthVersionLast="47" xr6:coauthVersionMax="47" xr10:uidLastSave="{00000000-0000-0000-0000-000000000000}"/>
  <bookViews>
    <workbookView xWindow="-98" yWindow="-98" windowWidth="21795" windowHeight="13875" activeTab="7" xr2:uid="{4AEFC894-79A5-4192-99BA-4A083F19B36B}"/>
  </bookViews>
  <sheets>
    <sheet name="OBJECTIFS TRACKING" sheetId="8" r:id="rId1"/>
    <sheet name="OBJECTIFS PAR LOGIN" sheetId="9" r:id="rId2"/>
    <sheet name="PERFORAMCE PAR PATENAIRE" sheetId="1" r:id="rId3"/>
    <sheet name="POINT PAR PARTENAIRE" sheetId="3" r:id="rId4"/>
    <sheet name="POINT PAR SEGMENT" sheetId="4" r:id="rId5"/>
    <sheet name="TOP 10 VENTE PAR COMMERCIAL" sheetId="7" r:id="rId6"/>
    <sheet name="POINT PAR LOGIN" sheetId="5" r:id="rId7"/>
    <sheet name="OBJECTIFS OCTOBRE" sheetId="2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9" l="1"/>
  <c r="D3" i="9" s="1"/>
  <c r="E4" i="9"/>
  <c r="E3" i="9" s="1"/>
  <c r="E58" i="9" s="1"/>
  <c r="F4" i="9"/>
  <c r="G4" i="9"/>
  <c r="H4" i="9"/>
  <c r="H3" i="9" s="1"/>
  <c r="H58" i="9" s="1"/>
  <c r="I4" i="9"/>
  <c r="I3" i="9" s="1"/>
  <c r="I58" i="9" s="1"/>
  <c r="J4" i="9"/>
  <c r="J3" i="9" s="1"/>
  <c r="J58" i="9" s="1"/>
  <c r="K4" i="9"/>
  <c r="K3" i="9" s="1"/>
  <c r="K58" i="9" s="1"/>
  <c r="L4" i="9"/>
  <c r="L3" i="9" s="1"/>
  <c r="L58" i="9" s="1"/>
  <c r="F5" i="9"/>
  <c r="G5" i="9"/>
  <c r="C5" i="9" s="1"/>
  <c r="H5" i="9"/>
  <c r="I5" i="9"/>
  <c r="J5" i="9"/>
  <c r="K5" i="9"/>
  <c r="L5" i="9"/>
  <c r="F6" i="9"/>
  <c r="G6" i="9"/>
  <c r="C6" i="9" s="1"/>
  <c r="H6" i="9"/>
  <c r="I6" i="9"/>
  <c r="J6" i="9"/>
  <c r="K6" i="9"/>
  <c r="L6" i="9"/>
  <c r="F7" i="9"/>
  <c r="G7" i="9"/>
  <c r="C7" i="9" s="1"/>
  <c r="H7" i="9"/>
  <c r="I7" i="9"/>
  <c r="J7" i="9"/>
  <c r="K7" i="9"/>
  <c r="L7" i="9"/>
  <c r="F8" i="9"/>
  <c r="G8" i="9"/>
  <c r="C8" i="9" s="1"/>
  <c r="H8" i="9"/>
  <c r="I8" i="9"/>
  <c r="J8" i="9"/>
  <c r="K8" i="9"/>
  <c r="L8" i="9"/>
  <c r="F9" i="9"/>
  <c r="G9" i="9"/>
  <c r="C9" i="9" s="1"/>
  <c r="H9" i="9"/>
  <c r="I9" i="9"/>
  <c r="J9" i="9"/>
  <c r="K9" i="9"/>
  <c r="L9" i="9"/>
  <c r="F10" i="9"/>
  <c r="G10" i="9"/>
  <c r="C10" i="9" s="1"/>
  <c r="H10" i="9"/>
  <c r="I10" i="9"/>
  <c r="J10" i="9"/>
  <c r="K10" i="9"/>
  <c r="L10" i="9"/>
  <c r="F11" i="9"/>
  <c r="G11" i="9"/>
  <c r="C11" i="9" s="1"/>
  <c r="H11" i="9"/>
  <c r="I11" i="9"/>
  <c r="J11" i="9"/>
  <c r="K11" i="9"/>
  <c r="L11" i="9"/>
  <c r="F12" i="9"/>
  <c r="G12" i="9"/>
  <c r="C12" i="9" s="1"/>
  <c r="H12" i="9"/>
  <c r="I12" i="9"/>
  <c r="J12" i="9"/>
  <c r="K12" i="9"/>
  <c r="L12" i="9"/>
  <c r="F13" i="9"/>
  <c r="G13" i="9"/>
  <c r="C13" i="9" s="1"/>
  <c r="H13" i="9"/>
  <c r="I13" i="9"/>
  <c r="J13" i="9"/>
  <c r="K13" i="9"/>
  <c r="L13" i="9"/>
  <c r="F14" i="9"/>
  <c r="G14" i="9"/>
  <c r="C14" i="9" s="1"/>
  <c r="H14" i="9"/>
  <c r="I14" i="9"/>
  <c r="J14" i="9"/>
  <c r="K14" i="9"/>
  <c r="L14" i="9"/>
  <c r="F15" i="9"/>
  <c r="G15" i="9"/>
  <c r="C15" i="9" s="1"/>
  <c r="H15" i="9"/>
  <c r="I15" i="9"/>
  <c r="J15" i="9"/>
  <c r="K15" i="9"/>
  <c r="L15" i="9"/>
  <c r="F16" i="9"/>
  <c r="G16" i="9"/>
  <c r="C16" i="9" s="1"/>
  <c r="H16" i="9"/>
  <c r="I16" i="9"/>
  <c r="J16" i="9"/>
  <c r="K16" i="9"/>
  <c r="L16" i="9"/>
  <c r="D18" i="9"/>
  <c r="E18" i="9"/>
  <c r="F18" i="9"/>
  <c r="G18" i="9"/>
  <c r="H18" i="9"/>
  <c r="I18" i="9"/>
  <c r="J18" i="9"/>
  <c r="K18" i="9"/>
  <c r="L18" i="9"/>
  <c r="F19" i="9"/>
  <c r="G19" i="9"/>
  <c r="C19" i="9" s="1"/>
  <c r="C18" i="9" s="1"/>
  <c r="H19" i="9"/>
  <c r="I19" i="9"/>
  <c r="J19" i="9"/>
  <c r="K19" i="9"/>
  <c r="L19" i="9"/>
  <c r="F20" i="9"/>
  <c r="G20" i="9"/>
  <c r="C20" i="9" s="1"/>
  <c r="H20" i="9"/>
  <c r="I20" i="9"/>
  <c r="J20" i="9"/>
  <c r="K20" i="9"/>
  <c r="L20" i="9"/>
  <c r="F21" i="9"/>
  <c r="G21" i="9"/>
  <c r="C21" i="9" s="1"/>
  <c r="H21" i="9"/>
  <c r="I21" i="9"/>
  <c r="J21" i="9"/>
  <c r="K21" i="9"/>
  <c r="L21" i="9"/>
  <c r="D22" i="9"/>
  <c r="E22" i="9"/>
  <c r="F22" i="9"/>
  <c r="G22" i="9"/>
  <c r="H22" i="9"/>
  <c r="I22" i="9"/>
  <c r="J22" i="9"/>
  <c r="K22" i="9"/>
  <c r="L22" i="9"/>
  <c r="F23" i="9"/>
  <c r="G23" i="9"/>
  <c r="C23" i="9" s="1"/>
  <c r="H23" i="9"/>
  <c r="I23" i="9"/>
  <c r="J23" i="9"/>
  <c r="K23" i="9"/>
  <c r="L23" i="9"/>
  <c r="F24" i="9"/>
  <c r="G24" i="9"/>
  <c r="C24" i="9" s="1"/>
  <c r="H24" i="9"/>
  <c r="I24" i="9"/>
  <c r="J24" i="9"/>
  <c r="K24" i="9"/>
  <c r="L24" i="9"/>
  <c r="F25" i="9"/>
  <c r="G25" i="9"/>
  <c r="C25" i="9" s="1"/>
  <c r="H25" i="9"/>
  <c r="I25" i="9"/>
  <c r="J25" i="9"/>
  <c r="K25" i="9"/>
  <c r="L25" i="9"/>
  <c r="F26" i="9"/>
  <c r="G26" i="9"/>
  <c r="C26" i="9" s="1"/>
  <c r="H26" i="9"/>
  <c r="I26" i="9"/>
  <c r="J26" i="9"/>
  <c r="K26" i="9"/>
  <c r="L26" i="9"/>
  <c r="D27" i="9"/>
  <c r="E27" i="9"/>
  <c r="F27" i="9"/>
  <c r="G27" i="9"/>
  <c r="C27" i="9" s="1"/>
  <c r="H27" i="9"/>
  <c r="I27" i="9"/>
  <c r="J27" i="9"/>
  <c r="K27" i="9"/>
  <c r="L27" i="9"/>
  <c r="F28" i="9"/>
  <c r="G28" i="9"/>
  <c r="C28" i="9" s="1"/>
  <c r="H28" i="9"/>
  <c r="I28" i="9"/>
  <c r="J28" i="9"/>
  <c r="K28" i="9"/>
  <c r="L28" i="9"/>
  <c r="F29" i="9"/>
  <c r="G29" i="9"/>
  <c r="C29" i="9" s="1"/>
  <c r="H29" i="9"/>
  <c r="I29" i="9"/>
  <c r="J29" i="9"/>
  <c r="K29" i="9"/>
  <c r="L29" i="9"/>
  <c r="D31" i="9"/>
  <c r="E31" i="9"/>
  <c r="F31" i="9"/>
  <c r="G31" i="9"/>
  <c r="C31" i="9" s="1"/>
  <c r="H31" i="9"/>
  <c r="I31" i="9"/>
  <c r="J31" i="9"/>
  <c r="K31" i="9"/>
  <c r="L31" i="9"/>
  <c r="F32" i="9"/>
  <c r="G32" i="9"/>
  <c r="C32" i="9" s="1"/>
  <c r="H32" i="9"/>
  <c r="I32" i="9"/>
  <c r="J32" i="9"/>
  <c r="K32" i="9"/>
  <c r="L32" i="9"/>
  <c r="F33" i="9"/>
  <c r="G33" i="9"/>
  <c r="C33" i="9" s="1"/>
  <c r="H33" i="9"/>
  <c r="I33" i="9"/>
  <c r="J33" i="9"/>
  <c r="K33" i="9"/>
  <c r="L33" i="9"/>
  <c r="D34" i="9"/>
  <c r="E34" i="9"/>
  <c r="F34" i="9"/>
  <c r="G34" i="9"/>
  <c r="H34" i="9"/>
  <c r="I34" i="9"/>
  <c r="J34" i="9"/>
  <c r="K34" i="9"/>
  <c r="L34" i="9"/>
  <c r="F35" i="9"/>
  <c r="G35" i="9"/>
  <c r="C35" i="9" s="1"/>
  <c r="C34" i="9" s="1"/>
  <c r="H35" i="9"/>
  <c r="I35" i="9"/>
  <c r="J35" i="9"/>
  <c r="K35" i="9"/>
  <c r="L35" i="9"/>
  <c r="F36" i="9"/>
  <c r="G36" i="9"/>
  <c r="C36" i="9" s="1"/>
  <c r="H36" i="9"/>
  <c r="I36" i="9"/>
  <c r="J36" i="9"/>
  <c r="K36" i="9"/>
  <c r="L36" i="9"/>
  <c r="F37" i="9"/>
  <c r="G37" i="9"/>
  <c r="C37" i="9" s="1"/>
  <c r="H37" i="9"/>
  <c r="I37" i="9"/>
  <c r="J37" i="9"/>
  <c r="K37" i="9"/>
  <c r="L37" i="9"/>
  <c r="F38" i="9"/>
  <c r="G38" i="9"/>
  <c r="C38" i="9" s="1"/>
  <c r="H38" i="9"/>
  <c r="I38" i="9"/>
  <c r="J38" i="9"/>
  <c r="K38" i="9"/>
  <c r="L38" i="9"/>
  <c r="D39" i="9"/>
  <c r="E39" i="9"/>
  <c r="F39" i="9"/>
  <c r="G39" i="9"/>
  <c r="H39" i="9"/>
  <c r="I39" i="9"/>
  <c r="J39" i="9"/>
  <c r="K39" i="9"/>
  <c r="L39" i="9"/>
  <c r="F40" i="9"/>
  <c r="G40" i="9"/>
  <c r="C40" i="9" s="1"/>
  <c r="H40" i="9"/>
  <c r="I40" i="9"/>
  <c r="J40" i="9"/>
  <c r="K40" i="9"/>
  <c r="L40" i="9"/>
  <c r="F41" i="9"/>
  <c r="G41" i="9"/>
  <c r="C41" i="9" s="1"/>
  <c r="H41" i="9"/>
  <c r="I41" i="9"/>
  <c r="J41" i="9"/>
  <c r="K41" i="9"/>
  <c r="F42" i="9"/>
  <c r="G42" i="9"/>
  <c r="C42" i="9" s="1"/>
  <c r="H42" i="9"/>
  <c r="I42" i="9"/>
  <c r="J42" i="9"/>
  <c r="K42" i="9"/>
  <c r="F43" i="9"/>
  <c r="G43" i="9"/>
  <c r="C43" i="9" s="1"/>
  <c r="H43" i="9"/>
  <c r="I43" i="9"/>
  <c r="J43" i="9"/>
  <c r="K43" i="9"/>
  <c r="D44" i="9"/>
  <c r="E44" i="9"/>
  <c r="F44" i="9"/>
  <c r="G44" i="9"/>
  <c r="C44" i="9" s="1"/>
  <c r="H44" i="9"/>
  <c r="I44" i="9"/>
  <c r="J44" i="9"/>
  <c r="K44" i="9"/>
  <c r="L44" i="9"/>
  <c r="F45" i="9"/>
  <c r="G45" i="9"/>
  <c r="C45" i="9" s="1"/>
  <c r="H45" i="9"/>
  <c r="I45" i="9"/>
  <c r="J45" i="9"/>
  <c r="K45" i="9"/>
  <c r="L45" i="9"/>
  <c r="F46" i="9"/>
  <c r="G46" i="9"/>
  <c r="C46" i="9" s="1"/>
  <c r="H46" i="9"/>
  <c r="I46" i="9"/>
  <c r="J46" i="9"/>
  <c r="K46" i="9"/>
  <c r="L46" i="9"/>
  <c r="F47" i="9"/>
  <c r="G47" i="9"/>
  <c r="C47" i="9" s="1"/>
  <c r="H47" i="9"/>
  <c r="I47" i="9"/>
  <c r="J47" i="9"/>
  <c r="K47" i="9"/>
  <c r="L47" i="9"/>
  <c r="F48" i="9"/>
  <c r="G48" i="9"/>
  <c r="C48" i="9" s="1"/>
  <c r="H48" i="9"/>
  <c r="I48" i="9"/>
  <c r="J48" i="9"/>
  <c r="K48" i="9"/>
  <c r="L48" i="9"/>
  <c r="F49" i="9"/>
  <c r="G49" i="9"/>
  <c r="C49" i="9" s="1"/>
  <c r="H49" i="9"/>
  <c r="I49" i="9"/>
  <c r="J49" i="9"/>
  <c r="K49" i="9"/>
  <c r="L49" i="9"/>
  <c r="F50" i="9"/>
  <c r="G50" i="9"/>
  <c r="C50" i="9" s="1"/>
  <c r="H50" i="9"/>
  <c r="I50" i="9"/>
  <c r="J50" i="9"/>
  <c r="K50" i="9"/>
  <c r="L50" i="9"/>
  <c r="F51" i="9"/>
  <c r="G51" i="9"/>
  <c r="C51" i="9" s="1"/>
  <c r="H51" i="9"/>
  <c r="I51" i="9"/>
  <c r="J51" i="9"/>
  <c r="K51" i="9"/>
  <c r="L51" i="9"/>
  <c r="F52" i="9"/>
  <c r="G52" i="9"/>
  <c r="C52" i="9" s="1"/>
  <c r="H52" i="9"/>
  <c r="I52" i="9"/>
  <c r="J52" i="9"/>
  <c r="K52" i="9"/>
  <c r="L52" i="9"/>
  <c r="F53" i="9"/>
  <c r="G53" i="9"/>
  <c r="H53" i="9"/>
  <c r="I53" i="9"/>
  <c r="J53" i="9"/>
  <c r="K53" i="9"/>
  <c r="L53" i="9"/>
  <c r="F54" i="9"/>
  <c r="G54" i="9"/>
  <c r="C54" i="9" s="1"/>
  <c r="H54" i="9"/>
  <c r="I54" i="9"/>
  <c r="J54" i="9"/>
  <c r="K54" i="9"/>
  <c r="L54" i="9"/>
  <c r="F55" i="9"/>
  <c r="G55" i="9"/>
  <c r="C55" i="9" s="1"/>
  <c r="H55" i="9"/>
  <c r="I55" i="9"/>
  <c r="J55" i="9"/>
  <c r="K55" i="9"/>
  <c r="L55" i="9"/>
  <c r="F56" i="9"/>
  <c r="G56" i="9"/>
  <c r="C56" i="9" s="1"/>
  <c r="H56" i="9"/>
  <c r="I56" i="9"/>
  <c r="J56" i="9"/>
  <c r="K56" i="9"/>
  <c r="L56" i="9"/>
  <c r="F8" i="8"/>
  <c r="G8" i="8"/>
  <c r="G3" i="8" s="1"/>
  <c r="G4" i="8" s="1"/>
  <c r="J8" i="8"/>
  <c r="J3" i="8" s="1"/>
  <c r="K8" i="8"/>
  <c r="K3" i="8" s="1"/>
  <c r="K4" i="8" s="1"/>
  <c r="L8" i="8"/>
  <c r="L3" i="8" s="1"/>
  <c r="M8" i="8"/>
  <c r="M3" i="8" s="1"/>
  <c r="N8" i="8"/>
  <c r="N3" i="8" s="1"/>
  <c r="E9" i="8"/>
  <c r="D9" i="8" s="1"/>
  <c r="C9" i="8" s="1"/>
  <c r="J9" i="8"/>
  <c r="K9" i="8"/>
  <c r="L9" i="8"/>
  <c r="M9" i="8"/>
  <c r="N9" i="8"/>
  <c r="E10" i="8"/>
  <c r="D10" i="8" s="1"/>
  <c r="C10" i="8" s="1"/>
  <c r="J10" i="8"/>
  <c r="K10" i="8"/>
  <c r="L10" i="8"/>
  <c r="M10" i="8"/>
  <c r="N10" i="8"/>
  <c r="E11" i="8"/>
  <c r="D11" i="8" s="1"/>
  <c r="C11" i="8" s="1"/>
  <c r="J11" i="8"/>
  <c r="K11" i="8"/>
  <c r="L11" i="8"/>
  <c r="M11" i="8"/>
  <c r="N11" i="8"/>
  <c r="E12" i="8"/>
  <c r="D12" i="8" s="1"/>
  <c r="C12" i="8" s="1"/>
  <c r="J12" i="8"/>
  <c r="K12" i="8"/>
  <c r="L12" i="8"/>
  <c r="M12" i="8"/>
  <c r="N12" i="8"/>
  <c r="E13" i="8"/>
  <c r="D13" i="8" s="1"/>
  <c r="C13" i="8" s="1"/>
  <c r="J13" i="8"/>
  <c r="K13" i="8"/>
  <c r="L13" i="8"/>
  <c r="M13" i="8"/>
  <c r="N13" i="8"/>
  <c r="E14" i="8"/>
  <c r="D14" i="8" s="1"/>
  <c r="C14" i="8" s="1"/>
  <c r="J14" i="8"/>
  <c r="K14" i="8"/>
  <c r="L14" i="8"/>
  <c r="M14" i="8"/>
  <c r="N14" i="8"/>
  <c r="E15" i="8"/>
  <c r="D15" i="8" s="1"/>
  <c r="C15" i="8" s="1"/>
  <c r="J15" i="8"/>
  <c r="K15" i="8"/>
  <c r="L15" i="8"/>
  <c r="M15" i="8"/>
  <c r="N15" i="8"/>
  <c r="E16" i="8"/>
  <c r="D16" i="8" s="1"/>
  <c r="C16" i="8" s="1"/>
  <c r="J16" i="8"/>
  <c r="K16" i="8"/>
  <c r="L16" i="8"/>
  <c r="M16" i="8"/>
  <c r="N16" i="8"/>
  <c r="E17" i="8"/>
  <c r="D17" i="8" s="1"/>
  <c r="C17" i="8" s="1"/>
  <c r="J17" i="8"/>
  <c r="K17" i="8"/>
  <c r="L17" i="8"/>
  <c r="M17" i="8"/>
  <c r="N17" i="8"/>
  <c r="E18" i="8"/>
  <c r="D18" i="8" s="1"/>
  <c r="C18" i="8" s="1"/>
  <c r="J18" i="8"/>
  <c r="K18" i="8"/>
  <c r="L18" i="8"/>
  <c r="M18" i="8"/>
  <c r="N18" i="8"/>
  <c r="E19" i="8"/>
  <c r="D19" i="8" s="1"/>
  <c r="C19" i="8" s="1"/>
  <c r="J19" i="8"/>
  <c r="K19" i="8"/>
  <c r="L19" i="8"/>
  <c r="M19" i="8"/>
  <c r="N19" i="8"/>
  <c r="E20" i="8"/>
  <c r="D20" i="8" s="1"/>
  <c r="C20" i="8" s="1"/>
  <c r="J20" i="8"/>
  <c r="K20" i="8"/>
  <c r="L20" i="8"/>
  <c r="M20" i="8"/>
  <c r="N20" i="8"/>
  <c r="F25" i="8"/>
  <c r="E25" i="8" s="1"/>
  <c r="D25" i="8" s="1"/>
  <c r="G25" i="8"/>
  <c r="J25" i="8"/>
  <c r="K25" i="8"/>
  <c r="L25" i="8"/>
  <c r="M25" i="8"/>
  <c r="N25" i="8"/>
  <c r="E26" i="8"/>
  <c r="D26" i="8" s="1"/>
  <c r="C26" i="8" s="1"/>
  <c r="J26" i="8"/>
  <c r="K26" i="8"/>
  <c r="L26" i="8"/>
  <c r="M26" i="8"/>
  <c r="N26" i="8"/>
  <c r="E27" i="8"/>
  <c r="D27" i="8" s="1"/>
  <c r="C27" i="8" s="1"/>
  <c r="J27" i="8"/>
  <c r="K27" i="8"/>
  <c r="L27" i="8"/>
  <c r="M27" i="8"/>
  <c r="N27" i="8"/>
  <c r="E28" i="8"/>
  <c r="D28" i="8" s="1"/>
  <c r="C28" i="8" s="1"/>
  <c r="J28" i="8"/>
  <c r="K28" i="8"/>
  <c r="L28" i="8"/>
  <c r="M28" i="8"/>
  <c r="N28" i="8"/>
  <c r="F32" i="8"/>
  <c r="E32" i="8" s="1"/>
  <c r="D32" i="8" s="1"/>
  <c r="G32" i="8"/>
  <c r="J32" i="8"/>
  <c r="K32" i="8"/>
  <c r="L32" i="8"/>
  <c r="M32" i="8"/>
  <c r="N32" i="8"/>
  <c r="E33" i="8"/>
  <c r="D33" i="8" s="1"/>
  <c r="C33" i="8" s="1"/>
  <c r="J33" i="8"/>
  <c r="K33" i="8"/>
  <c r="L33" i="8"/>
  <c r="M33" i="8"/>
  <c r="N33" i="8"/>
  <c r="E34" i="8"/>
  <c r="D34" i="8" s="1"/>
  <c r="C34" i="8" s="1"/>
  <c r="J34" i="8"/>
  <c r="K34" i="8"/>
  <c r="L34" i="8"/>
  <c r="M34" i="8"/>
  <c r="N34" i="8"/>
  <c r="E35" i="8"/>
  <c r="D35" i="8" s="1"/>
  <c r="C35" i="8" s="1"/>
  <c r="J35" i="8"/>
  <c r="K35" i="8"/>
  <c r="L35" i="8"/>
  <c r="M35" i="8"/>
  <c r="N35" i="8"/>
  <c r="E36" i="8"/>
  <c r="D36" i="8" s="1"/>
  <c r="C36" i="8" s="1"/>
  <c r="J36" i="8"/>
  <c r="K36" i="8"/>
  <c r="L36" i="8"/>
  <c r="M36" i="8"/>
  <c r="N36" i="8"/>
  <c r="F40" i="8"/>
  <c r="E40" i="8" s="1"/>
  <c r="D40" i="8" s="1"/>
  <c r="C40" i="8" s="1"/>
  <c r="G40" i="8"/>
  <c r="J40" i="8"/>
  <c r="K40" i="8"/>
  <c r="L40" i="8"/>
  <c r="M40" i="8"/>
  <c r="N40" i="8"/>
  <c r="E41" i="8"/>
  <c r="D41" i="8" s="1"/>
  <c r="C41" i="8" s="1"/>
  <c r="J41" i="8"/>
  <c r="K41" i="8"/>
  <c r="L41" i="8"/>
  <c r="M41" i="8"/>
  <c r="N41" i="8"/>
  <c r="E42" i="8"/>
  <c r="D42" i="8" s="1"/>
  <c r="C42" i="8" s="1"/>
  <c r="J42" i="8"/>
  <c r="K42" i="8"/>
  <c r="L42" i="8" s="1"/>
  <c r="F47" i="8"/>
  <c r="E47" i="8" s="1"/>
  <c r="D47" i="8" s="1"/>
  <c r="C47" i="8" s="1"/>
  <c r="G47" i="8"/>
  <c r="J47" i="8"/>
  <c r="K47" i="8"/>
  <c r="L47" i="8"/>
  <c r="M47" i="8"/>
  <c r="N47" i="8"/>
  <c r="E48" i="8"/>
  <c r="D48" i="8" s="1"/>
  <c r="C48" i="8" s="1"/>
  <c r="J48" i="8"/>
  <c r="K48" i="8"/>
  <c r="L48" i="8"/>
  <c r="M48" i="8"/>
  <c r="N48" i="8"/>
  <c r="E49" i="8"/>
  <c r="D49" i="8" s="1"/>
  <c r="C49" i="8" s="1"/>
  <c r="J49" i="8"/>
  <c r="K49" i="8"/>
  <c r="L49" i="8"/>
  <c r="M49" i="8"/>
  <c r="N49" i="8"/>
  <c r="F53" i="8"/>
  <c r="E53" i="8" s="1"/>
  <c r="D53" i="8" s="1"/>
  <c r="G53" i="8"/>
  <c r="J53" i="8"/>
  <c r="K53" i="8"/>
  <c r="L53" i="8"/>
  <c r="M53" i="8"/>
  <c r="N53" i="8"/>
  <c r="E54" i="8"/>
  <c r="D54" i="8" s="1"/>
  <c r="C54" i="8" s="1"/>
  <c r="J54" i="8"/>
  <c r="K54" i="8"/>
  <c r="L54" i="8"/>
  <c r="M54" i="8"/>
  <c r="N54" i="8"/>
  <c r="E55" i="8"/>
  <c r="D55" i="8" s="1"/>
  <c r="C55" i="8" s="1"/>
  <c r="J55" i="8"/>
  <c r="L55" i="8" s="1"/>
  <c r="K55" i="8"/>
  <c r="E56" i="8"/>
  <c r="D56" i="8" s="1"/>
  <c r="C56" i="8" s="1"/>
  <c r="J56" i="8"/>
  <c r="K56" i="8"/>
  <c r="L56" i="8"/>
  <c r="M56" i="8"/>
  <c r="N56" i="8"/>
  <c r="E57" i="8"/>
  <c r="D57" i="8" s="1"/>
  <c r="C57" i="8" s="1"/>
  <c r="J57" i="8"/>
  <c r="K57" i="8"/>
  <c r="L57" i="8"/>
  <c r="M57" i="8"/>
  <c r="N57" i="8"/>
  <c r="F61" i="8"/>
  <c r="G61" i="8"/>
  <c r="K61" i="8"/>
  <c r="E62" i="8"/>
  <c r="D62" i="8" s="1"/>
  <c r="C62" i="8" s="1"/>
  <c r="J62" i="8"/>
  <c r="K62" i="8"/>
  <c r="L62" i="8"/>
  <c r="E63" i="8"/>
  <c r="D63" i="8" s="1"/>
  <c r="C63" i="8" s="1"/>
  <c r="J63" i="8"/>
  <c r="K63" i="8"/>
  <c r="L63" i="8"/>
  <c r="M63" i="8"/>
  <c r="E64" i="8"/>
  <c r="D64" i="8" s="1"/>
  <c r="C64" i="8" s="1"/>
  <c r="J64" i="8"/>
  <c r="K64" i="8"/>
  <c r="L64" i="8"/>
  <c r="M64" i="8" s="1"/>
  <c r="E65" i="8"/>
  <c r="D65" i="8" s="1"/>
  <c r="C65" i="8" s="1"/>
  <c r="J65" i="8"/>
  <c r="K65" i="8"/>
  <c r="L65" i="8"/>
  <c r="M65" i="8" s="1"/>
  <c r="F69" i="8"/>
  <c r="G69" i="8"/>
  <c r="K69" i="8"/>
  <c r="E70" i="8"/>
  <c r="D70" i="8" s="1"/>
  <c r="C70" i="8" s="1"/>
  <c r="J70" i="8"/>
  <c r="K70" i="8"/>
  <c r="L70" i="8" s="1"/>
  <c r="E71" i="8"/>
  <c r="D71" i="8" s="1"/>
  <c r="C71" i="8" s="1"/>
  <c r="J71" i="8"/>
  <c r="K71" i="8"/>
  <c r="L71" i="8" s="1"/>
  <c r="E72" i="8"/>
  <c r="D72" i="8" s="1"/>
  <c r="C72" i="8" s="1"/>
  <c r="J72" i="8"/>
  <c r="K72" i="8"/>
  <c r="L72" i="8"/>
  <c r="E73" i="8"/>
  <c r="D73" i="8" s="1"/>
  <c r="C73" i="8" s="1"/>
  <c r="J73" i="8"/>
  <c r="K73" i="8"/>
  <c r="L73" i="8"/>
  <c r="M73" i="8"/>
  <c r="N73" i="8"/>
  <c r="E74" i="8"/>
  <c r="D74" i="8" s="1"/>
  <c r="C74" i="8" s="1"/>
  <c r="J74" i="8"/>
  <c r="K74" i="8"/>
  <c r="L74" i="8" s="1"/>
  <c r="E78" i="8"/>
  <c r="D78" i="8" s="1"/>
  <c r="C78" i="8" s="1"/>
  <c r="J78" i="8"/>
  <c r="K78" i="8"/>
  <c r="L78" i="8"/>
  <c r="E79" i="8"/>
  <c r="D79" i="8" s="1"/>
  <c r="C79" i="8" s="1"/>
  <c r="J79" i="8"/>
  <c r="K79" i="8"/>
  <c r="L79" i="8"/>
  <c r="M79" i="8" s="1"/>
  <c r="N79" i="8"/>
  <c r="E80" i="8"/>
  <c r="D80" i="8" s="1"/>
  <c r="C80" i="8" s="1"/>
  <c r="J80" i="8"/>
  <c r="K80" i="8"/>
  <c r="L80" i="8"/>
  <c r="E84" i="8"/>
  <c r="D84" i="8" s="1"/>
  <c r="J84" i="8"/>
  <c r="K84" i="8"/>
  <c r="L84" i="8"/>
  <c r="E85" i="8"/>
  <c r="D85" i="8" s="1"/>
  <c r="C85" i="8" s="1"/>
  <c r="J85" i="8"/>
  <c r="K85" i="8"/>
  <c r="L85" i="8"/>
  <c r="E86" i="8"/>
  <c r="D86" i="8" s="1"/>
  <c r="C86" i="8" s="1"/>
  <c r="J86" i="8"/>
  <c r="K86" i="8"/>
  <c r="L86" i="8"/>
  <c r="M86" i="8" s="1"/>
  <c r="N86" i="8"/>
  <c r="E87" i="8"/>
  <c r="D87" i="8" s="1"/>
  <c r="C87" i="8" s="1"/>
  <c r="J87" i="8"/>
  <c r="K87" i="8"/>
  <c r="L87" i="8"/>
  <c r="M87" i="8"/>
  <c r="N87" i="8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5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AK4" i="1"/>
  <c r="F19" i="2"/>
  <c r="I18" i="2"/>
  <c r="H18" i="2"/>
  <c r="J18" i="2" s="1"/>
  <c r="F18" i="2"/>
  <c r="G18" i="2" s="1"/>
  <c r="C18" i="2" s="1"/>
  <c r="F17" i="2"/>
  <c r="F16" i="2"/>
  <c r="J15" i="2"/>
  <c r="L15" i="2" s="1"/>
  <c r="I15" i="2"/>
  <c r="H15" i="2"/>
  <c r="F15" i="2"/>
  <c r="G15" i="2" s="1"/>
  <c r="C15" i="2" s="1"/>
  <c r="F14" i="2"/>
  <c r="F13" i="2"/>
  <c r="I12" i="2"/>
  <c r="H12" i="2"/>
  <c r="J12" i="2" s="1"/>
  <c r="F12" i="2"/>
  <c r="G12" i="2" s="1"/>
  <c r="C12" i="2" s="1"/>
  <c r="F11" i="2"/>
  <c r="I10" i="2"/>
  <c r="H10" i="2"/>
  <c r="J10" i="2" s="1"/>
  <c r="G10" i="2"/>
  <c r="F10" i="2"/>
  <c r="C10" i="2"/>
  <c r="I9" i="2"/>
  <c r="H9" i="2"/>
  <c r="J9" i="2" s="1"/>
  <c r="G9" i="2"/>
  <c r="F9" i="2"/>
  <c r="C9" i="2"/>
  <c r="I8" i="2"/>
  <c r="H8" i="2"/>
  <c r="J8" i="2" s="1"/>
  <c r="G8" i="2"/>
  <c r="F8" i="2"/>
  <c r="C8" i="2"/>
  <c r="I7" i="2"/>
  <c r="H7" i="2"/>
  <c r="J7" i="2" s="1"/>
  <c r="G7" i="2"/>
  <c r="F7" i="2"/>
  <c r="C7" i="2"/>
  <c r="I6" i="2"/>
  <c r="H6" i="2"/>
  <c r="J6" i="2" s="1"/>
  <c r="G6" i="2"/>
  <c r="F6" i="2"/>
  <c r="C6" i="2"/>
  <c r="I5" i="2"/>
  <c r="H5" i="2"/>
  <c r="J5" i="2" s="1"/>
  <c r="G5" i="2"/>
  <c r="F5" i="2"/>
  <c r="C5" i="2"/>
  <c r="I4" i="2"/>
  <c r="H4" i="2"/>
  <c r="J4" i="2" s="1"/>
  <c r="G4" i="2"/>
  <c r="G3" i="2" s="1"/>
  <c r="F4" i="2"/>
  <c r="C4" i="2"/>
  <c r="C3" i="2" s="1"/>
  <c r="I3" i="2"/>
  <c r="I20" i="2" s="1"/>
  <c r="H3" i="2"/>
  <c r="H20" i="2" s="1"/>
  <c r="E3" i="2"/>
  <c r="F3" i="2" s="1"/>
  <c r="F20" i="2" s="1"/>
  <c r="D3" i="2"/>
  <c r="D20" i="2" s="1"/>
  <c r="AA11" i="1"/>
  <c r="AA19" i="1"/>
  <c r="Z4" i="1"/>
  <c r="Z12" i="1"/>
  <c r="Z20" i="1"/>
  <c r="Y5" i="1"/>
  <c r="Y13" i="1"/>
  <c r="Y21" i="1"/>
  <c r="X6" i="1"/>
  <c r="X14" i="1"/>
  <c r="X22" i="1"/>
  <c r="V8" i="1"/>
  <c r="V16" i="1"/>
  <c r="V24" i="1"/>
  <c r="T10" i="1"/>
  <c r="T18" i="1"/>
  <c r="T26" i="1"/>
  <c r="S11" i="1"/>
  <c r="S19" i="1"/>
  <c r="R4" i="1"/>
  <c r="R12" i="1"/>
  <c r="R20" i="1"/>
  <c r="Q5" i="1"/>
  <c r="Q13" i="1"/>
  <c r="Q21" i="1"/>
  <c r="P6" i="1"/>
  <c r="P14" i="1"/>
  <c r="P22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G7" i="1"/>
  <c r="AG4" i="1"/>
  <c r="AG5" i="1"/>
  <c r="AG6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3" i="1"/>
  <c r="AH3" i="1"/>
  <c r="AI3" i="1"/>
  <c r="AJ3" i="1"/>
  <c r="AK3" i="1"/>
  <c r="AL3" i="1"/>
  <c r="AM3" i="1"/>
  <c r="AN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3" i="1"/>
  <c r="AE3" i="1"/>
  <c r="AC24" i="1"/>
  <c r="AC25" i="1"/>
  <c r="AC26" i="1"/>
  <c r="D27" i="1"/>
  <c r="Q6" i="1" s="1"/>
  <c r="E27" i="1"/>
  <c r="R5" i="1" s="1"/>
  <c r="F27" i="1"/>
  <c r="S4" i="1" s="1"/>
  <c r="G27" i="1"/>
  <c r="T11" i="1" s="1"/>
  <c r="H27" i="1"/>
  <c r="U10" i="1" s="1"/>
  <c r="I27" i="1"/>
  <c r="V9" i="1" s="1"/>
  <c r="J27" i="1"/>
  <c r="AJ27" i="1" s="1"/>
  <c r="K27" i="1"/>
  <c r="X7" i="1" s="1"/>
  <c r="L27" i="1"/>
  <c r="Y6" i="1" s="1"/>
  <c r="M27" i="1"/>
  <c r="Z5" i="1" s="1"/>
  <c r="N27" i="1"/>
  <c r="AA4" i="1" s="1"/>
  <c r="C27" i="1"/>
  <c r="AC27" i="1" s="1"/>
  <c r="O14" i="1"/>
  <c r="O16" i="1"/>
  <c r="O9" i="1"/>
  <c r="O15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3" i="1"/>
  <c r="O7" i="1"/>
  <c r="O8" i="1"/>
  <c r="O10" i="1"/>
  <c r="O2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3" i="1"/>
  <c r="D58" i="9" l="1"/>
  <c r="F3" i="9"/>
  <c r="F58" i="9" s="1"/>
  <c r="C4" i="9"/>
  <c r="C3" i="9" s="1"/>
  <c r="G3" i="9"/>
  <c r="G58" i="9" s="1"/>
  <c r="F3" i="8"/>
  <c r="E8" i="8"/>
  <c r="D8" i="8" s="1"/>
  <c r="N42" i="8"/>
  <c r="M42" i="8"/>
  <c r="N55" i="8"/>
  <c r="M55" i="8"/>
  <c r="E61" i="8"/>
  <c r="D61" i="8" s="1"/>
  <c r="J61" i="8"/>
  <c r="M62" i="8"/>
  <c r="N62" i="8"/>
  <c r="J69" i="8"/>
  <c r="L69" i="8" s="1"/>
  <c r="E69" i="8"/>
  <c r="D69" i="8" s="1"/>
  <c r="C69" i="8" s="1"/>
  <c r="N70" i="8"/>
  <c r="M70" i="8"/>
  <c r="N71" i="8"/>
  <c r="M71" i="8"/>
  <c r="M72" i="8"/>
  <c r="N72" i="8"/>
  <c r="N74" i="8"/>
  <c r="M74" i="8"/>
  <c r="N78" i="8"/>
  <c r="M78" i="8"/>
  <c r="M80" i="8"/>
  <c r="N80" i="8"/>
  <c r="M84" i="8"/>
  <c r="N84" i="8"/>
  <c r="N85" i="8"/>
  <c r="M85" i="8"/>
  <c r="C32" i="8"/>
  <c r="C84" i="8"/>
  <c r="C39" i="9"/>
  <c r="C53" i="9"/>
  <c r="C53" i="8"/>
  <c r="C61" i="8"/>
  <c r="C22" i="9"/>
  <c r="C25" i="8"/>
  <c r="U25" i="1"/>
  <c r="U17" i="1"/>
  <c r="U9" i="1"/>
  <c r="W23" i="1"/>
  <c r="W15" i="1"/>
  <c r="W7" i="1"/>
  <c r="P21" i="1"/>
  <c r="P13" i="1"/>
  <c r="P5" i="1"/>
  <c r="Q20" i="1"/>
  <c r="Q12" i="1"/>
  <c r="Q4" i="1"/>
  <c r="R19" i="1"/>
  <c r="R11" i="1"/>
  <c r="S26" i="1"/>
  <c r="S18" i="1"/>
  <c r="S10" i="1"/>
  <c r="T25" i="1"/>
  <c r="T17" i="1"/>
  <c r="T9" i="1"/>
  <c r="U24" i="1"/>
  <c r="U16" i="1"/>
  <c r="U8" i="1"/>
  <c r="V23" i="1"/>
  <c r="V15" i="1"/>
  <c r="V7" i="1"/>
  <c r="W22" i="1"/>
  <c r="W14" i="1"/>
  <c r="W6" i="1"/>
  <c r="X21" i="1"/>
  <c r="X13" i="1"/>
  <c r="X5" i="1"/>
  <c r="Y20" i="1"/>
  <c r="Y12" i="1"/>
  <c r="Y4" i="1"/>
  <c r="Z19" i="1"/>
  <c r="Z11" i="1"/>
  <c r="AA26" i="1"/>
  <c r="AA18" i="1"/>
  <c r="AA10" i="1"/>
  <c r="P20" i="1"/>
  <c r="P12" i="1"/>
  <c r="P4" i="1"/>
  <c r="Q19" i="1"/>
  <c r="Q11" i="1"/>
  <c r="R26" i="1"/>
  <c r="R18" i="1"/>
  <c r="R10" i="1"/>
  <c r="S25" i="1"/>
  <c r="S17" i="1"/>
  <c r="S9" i="1"/>
  <c r="T24" i="1"/>
  <c r="T16" i="1"/>
  <c r="T8" i="1"/>
  <c r="U23" i="1"/>
  <c r="U15" i="1"/>
  <c r="U7" i="1"/>
  <c r="V22" i="1"/>
  <c r="V14" i="1"/>
  <c r="V6" i="1"/>
  <c r="W21" i="1"/>
  <c r="W13" i="1"/>
  <c r="W5" i="1"/>
  <c r="X20" i="1"/>
  <c r="X12" i="1"/>
  <c r="X4" i="1"/>
  <c r="Y19" i="1"/>
  <c r="Y11" i="1"/>
  <c r="Z26" i="1"/>
  <c r="Z18" i="1"/>
  <c r="Z10" i="1"/>
  <c r="AA25" i="1"/>
  <c r="AA17" i="1"/>
  <c r="AA9" i="1"/>
  <c r="P3" i="1"/>
  <c r="P27" i="1" s="1"/>
  <c r="P19" i="1"/>
  <c r="P11" i="1"/>
  <c r="Q26" i="1"/>
  <c r="Q18" i="1"/>
  <c r="Q10" i="1"/>
  <c r="R25" i="1"/>
  <c r="R17" i="1"/>
  <c r="R9" i="1"/>
  <c r="S24" i="1"/>
  <c r="S16" i="1"/>
  <c r="S8" i="1"/>
  <c r="T23" i="1"/>
  <c r="T15" i="1"/>
  <c r="T7" i="1"/>
  <c r="U22" i="1"/>
  <c r="U14" i="1"/>
  <c r="U6" i="1"/>
  <c r="V21" i="1"/>
  <c r="V13" i="1"/>
  <c r="V5" i="1"/>
  <c r="W20" i="1"/>
  <c r="W12" i="1"/>
  <c r="W4" i="1"/>
  <c r="X19" i="1"/>
  <c r="X11" i="1"/>
  <c r="Y26" i="1"/>
  <c r="Y18" i="1"/>
  <c r="Y10" i="1"/>
  <c r="Z25" i="1"/>
  <c r="Z17" i="1"/>
  <c r="Z9" i="1"/>
  <c r="AA24" i="1"/>
  <c r="AA16" i="1"/>
  <c r="AA8" i="1"/>
  <c r="P26" i="1"/>
  <c r="P18" i="1"/>
  <c r="P10" i="1"/>
  <c r="Q25" i="1"/>
  <c r="Q17" i="1"/>
  <c r="Q9" i="1"/>
  <c r="R24" i="1"/>
  <c r="R16" i="1"/>
  <c r="R8" i="1"/>
  <c r="S23" i="1"/>
  <c r="S15" i="1"/>
  <c r="S7" i="1"/>
  <c r="T22" i="1"/>
  <c r="T14" i="1"/>
  <c r="T6" i="1"/>
  <c r="U21" i="1"/>
  <c r="U13" i="1"/>
  <c r="U5" i="1"/>
  <c r="V20" i="1"/>
  <c r="V12" i="1"/>
  <c r="V4" i="1"/>
  <c r="W19" i="1"/>
  <c r="W11" i="1"/>
  <c r="X26" i="1"/>
  <c r="X18" i="1"/>
  <c r="X10" i="1"/>
  <c r="Y25" i="1"/>
  <c r="Y17" i="1"/>
  <c r="Y9" i="1"/>
  <c r="Z24" i="1"/>
  <c r="Z16" i="1"/>
  <c r="Z8" i="1"/>
  <c r="AA23" i="1"/>
  <c r="AA15" i="1"/>
  <c r="AA7" i="1"/>
  <c r="P25" i="1"/>
  <c r="P17" i="1"/>
  <c r="P9" i="1"/>
  <c r="Q24" i="1"/>
  <c r="Q16" i="1"/>
  <c r="Q8" i="1"/>
  <c r="R23" i="1"/>
  <c r="R15" i="1"/>
  <c r="R7" i="1"/>
  <c r="S22" i="1"/>
  <c r="S14" i="1"/>
  <c r="S6" i="1"/>
  <c r="T21" i="1"/>
  <c r="T13" i="1"/>
  <c r="T5" i="1"/>
  <c r="U20" i="1"/>
  <c r="U12" i="1"/>
  <c r="U4" i="1"/>
  <c r="V19" i="1"/>
  <c r="V11" i="1"/>
  <c r="W26" i="1"/>
  <c r="W18" i="1"/>
  <c r="W10" i="1"/>
  <c r="X25" i="1"/>
  <c r="X17" i="1"/>
  <c r="X9" i="1"/>
  <c r="Y24" i="1"/>
  <c r="Y16" i="1"/>
  <c r="Y8" i="1"/>
  <c r="Z23" i="1"/>
  <c r="Z15" i="1"/>
  <c r="Z7" i="1"/>
  <c r="AA22" i="1"/>
  <c r="AA14" i="1"/>
  <c r="AA6" i="1"/>
  <c r="P24" i="1"/>
  <c r="P16" i="1"/>
  <c r="P8" i="1"/>
  <c r="Q23" i="1"/>
  <c r="Q15" i="1"/>
  <c r="Q7" i="1"/>
  <c r="R22" i="1"/>
  <c r="R14" i="1"/>
  <c r="R6" i="1"/>
  <c r="S21" i="1"/>
  <c r="S13" i="1"/>
  <c r="S5" i="1"/>
  <c r="T20" i="1"/>
  <c r="T12" i="1"/>
  <c r="T4" i="1"/>
  <c r="U19" i="1"/>
  <c r="U11" i="1"/>
  <c r="V26" i="1"/>
  <c r="V18" i="1"/>
  <c r="V10" i="1"/>
  <c r="W25" i="1"/>
  <c r="W17" i="1"/>
  <c r="W9" i="1"/>
  <c r="X24" i="1"/>
  <c r="X16" i="1"/>
  <c r="X8" i="1"/>
  <c r="Y23" i="1"/>
  <c r="Y15" i="1"/>
  <c r="Y7" i="1"/>
  <c r="Z22" i="1"/>
  <c r="Z14" i="1"/>
  <c r="Z6" i="1"/>
  <c r="AA21" i="1"/>
  <c r="AA13" i="1"/>
  <c r="AA5" i="1"/>
  <c r="P23" i="1"/>
  <c r="P15" i="1"/>
  <c r="P7" i="1"/>
  <c r="Q22" i="1"/>
  <c r="Q14" i="1"/>
  <c r="R21" i="1"/>
  <c r="R13" i="1"/>
  <c r="S20" i="1"/>
  <c r="S12" i="1"/>
  <c r="T19" i="1"/>
  <c r="U26" i="1"/>
  <c r="U18" i="1"/>
  <c r="V25" i="1"/>
  <c r="V17" i="1"/>
  <c r="W24" i="1"/>
  <c r="W16" i="1"/>
  <c r="W8" i="1"/>
  <c r="X23" i="1"/>
  <c r="X15" i="1"/>
  <c r="Y22" i="1"/>
  <c r="Y14" i="1"/>
  <c r="Z21" i="1"/>
  <c r="Z13" i="1"/>
  <c r="AA20" i="1"/>
  <c r="AA12" i="1"/>
  <c r="L9" i="2"/>
  <c r="K9" i="2"/>
  <c r="C20" i="2"/>
  <c r="L5" i="2"/>
  <c r="K5" i="2"/>
  <c r="L18" i="2"/>
  <c r="K18" i="2"/>
  <c r="L4" i="2"/>
  <c r="L3" i="2" s="1"/>
  <c r="L20" i="2" s="1"/>
  <c r="K4" i="2"/>
  <c r="J3" i="2"/>
  <c r="J20" i="2" s="1"/>
  <c r="L6" i="2"/>
  <c r="K6" i="2"/>
  <c r="L8" i="2"/>
  <c r="K8" i="2"/>
  <c r="L10" i="2"/>
  <c r="K10" i="2"/>
  <c r="K12" i="2"/>
  <c r="L12" i="2"/>
  <c r="G20" i="2"/>
  <c r="L7" i="2"/>
  <c r="K7" i="2"/>
  <c r="E20" i="2"/>
  <c r="K15" i="2"/>
  <c r="AD27" i="1"/>
  <c r="O6" i="1"/>
  <c r="O22" i="1"/>
  <c r="O17" i="1"/>
  <c r="O21" i="1"/>
  <c r="O13" i="1"/>
  <c r="O5" i="1"/>
  <c r="O20" i="1"/>
  <c r="O12" i="1"/>
  <c r="O4" i="1"/>
  <c r="O19" i="1"/>
  <c r="O11" i="1"/>
  <c r="O18" i="1"/>
  <c r="O3" i="1"/>
  <c r="E3" i="8" l="1"/>
  <c r="E4" i="8" s="1"/>
  <c r="F4" i="8"/>
  <c r="C8" i="8"/>
  <c r="C3" i="8" s="1"/>
  <c r="C4" i="8" s="1"/>
  <c r="D3" i="8"/>
  <c r="D4" i="8" s="1"/>
  <c r="J4" i="8"/>
  <c r="L61" i="8"/>
  <c r="N69" i="8"/>
  <c r="M69" i="8"/>
  <c r="C58" i="9"/>
  <c r="AB6" i="1"/>
  <c r="AB21" i="1"/>
  <c r="AB22" i="1"/>
  <c r="AB12" i="1"/>
  <c r="O27" i="1"/>
  <c r="AB3" i="1"/>
  <c r="AB13" i="1"/>
  <c r="AB11" i="1"/>
  <c r="AB17" i="1"/>
  <c r="K3" i="2"/>
  <c r="K20" i="2" s="1"/>
  <c r="AF27" i="1"/>
  <c r="L4" i="8" l="1"/>
  <c r="N61" i="8"/>
  <c r="N4" i="8" s="1"/>
  <c r="M61" i="8"/>
  <c r="M4" i="8" s="1"/>
  <c r="AB24" i="1"/>
  <c r="AB25" i="1"/>
  <c r="AB26" i="1"/>
  <c r="AB10" i="1"/>
  <c r="AB15" i="1"/>
  <c r="AB8" i="1"/>
  <c r="AB9" i="1"/>
  <c r="AB7" i="1"/>
  <c r="AB16" i="1"/>
  <c r="AB14" i="1"/>
  <c r="AB23" i="1"/>
  <c r="AB4" i="1"/>
  <c r="AB5" i="1"/>
  <c r="AB19" i="1"/>
  <c r="AB20" i="1"/>
  <c r="AB18" i="1"/>
  <c r="AG27" i="1"/>
  <c r="AH27" i="1"/>
  <c r="AE27" i="1"/>
  <c r="S3" i="1"/>
  <c r="R3" i="1"/>
  <c r="Q3" i="1"/>
  <c r="T3" i="1"/>
  <c r="U3" i="1"/>
  <c r="AI27" i="1"/>
  <c r="S27" i="1" l="1"/>
  <c r="R27" i="1"/>
  <c r="U27" i="1"/>
  <c r="T27" i="1"/>
  <c r="Q27" i="1"/>
  <c r="AN27" i="1"/>
  <c r="AM27" i="1"/>
  <c r="AL27" i="1"/>
  <c r="AK27" i="1"/>
  <c r="AA3" i="1"/>
  <c r="AA27" i="1" s="1"/>
  <c r="V3" i="1"/>
  <c r="V27" i="1" s="1"/>
  <c r="Z3" i="1"/>
  <c r="Z27" i="1" s="1"/>
  <c r="Y3" i="1"/>
  <c r="Y27" i="1" s="1"/>
  <c r="X3" i="1"/>
  <c r="W3" i="1"/>
  <c r="X27" i="1" l="1"/>
  <c r="W27" i="1"/>
  <c r="AB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ADISSA</author>
  </authors>
  <commentList>
    <comment ref="L1" authorId="0" shapeId="0" xr:uid="{635EE8E7-59F7-41CA-A6E4-FB34D34F0D8B}">
      <text>
        <r>
          <rPr>
            <b/>
            <sz val="10"/>
            <color indexed="81"/>
            <rFont val="Tahoma"/>
            <family val="2"/>
          </rPr>
          <t>ADISSA:</t>
        </r>
        <r>
          <rPr>
            <sz val="10"/>
            <color indexed="81"/>
            <rFont val="Tahoma"/>
            <family val="2"/>
          </rPr>
          <t xml:space="preserve">
En considerant uniquement l'offre du 50 M du B2C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ADISSA</author>
  </authors>
  <commentList>
    <comment ref="J1" authorId="0" shapeId="0" xr:uid="{14D1C593-B12F-486F-A99A-FC5E75F7EE43}">
      <text>
        <r>
          <rPr>
            <b/>
            <sz val="10"/>
            <color indexed="81"/>
            <rFont val="Tahoma"/>
            <family val="2"/>
          </rPr>
          <t>ADISSA:</t>
        </r>
        <r>
          <rPr>
            <sz val="10"/>
            <color indexed="81"/>
            <rFont val="Tahoma"/>
            <family val="2"/>
          </rPr>
          <t xml:space="preserve">
En considerant uniquement l'offre du 50 M du B2C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ADISSA</author>
  </authors>
  <commentList>
    <comment ref="J1" authorId="0" shapeId="0" xr:uid="{73A3A231-1F4A-45C0-A360-A02F41CBC208}">
      <text>
        <r>
          <rPr>
            <b/>
            <sz val="10"/>
            <color indexed="81"/>
            <rFont val="Tahoma"/>
            <family val="2"/>
          </rPr>
          <t>ADISSA:</t>
        </r>
        <r>
          <rPr>
            <sz val="10"/>
            <color indexed="81"/>
            <rFont val="Tahoma"/>
            <family val="2"/>
          </rPr>
          <t xml:space="preserve">
En considerant uniquement l'offre du 50 M du B2C</t>
        </r>
      </text>
    </comment>
  </commentList>
</comments>
</file>

<file path=xl/sharedStrings.xml><?xml version="1.0" encoding="utf-8"?>
<sst xmlns="http://schemas.openxmlformats.org/spreadsheetml/2006/main" count="643" uniqueCount="218">
  <si>
    <t>Juil</t>
  </si>
  <si>
    <t>Août</t>
  </si>
  <si>
    <t>Sept</t>
  </si>
  <si>
    <t>Oct</t>
  </si>
  <si>
    <t>Nov</t>
  </si>
  <si>
    <t>EXPERT</t>
  </si>
  <si>
    <t>RGZ</t>
  </si>
  <si>
    <t>GMAT</t>
  </si>
  <si>
    <t>RADJIB</t>
  </si>
  <si>
    <t>HIMALAYA</t>
  </si>
  <si>
    <t>IGP</t>
  </si>
  <si>
    <t>DAFCOM</t>
  </si>
  <si>
    <t>ADCOMNET</t>
  </si>
  <si>
    <t>AGND</t>
  </si>
  <si>
    <t>PRODITEL</t>
  </si>
  <si>
    <t>LINARCEL</t>
  </si>
  <si>
    <t>RIGHTCOM</t>
  </si>
  <si>
    <t>KEYLA</t>
  </si>
  <si>
    <t>SADINTER</t>
  </si>
  <si>
    <t>SOROC</t>
  </si>
  <si>
    <t>Total</t>
  </si>
  <si>
    <t>TOTAL</t>
  </si>
  <si>
    <t>% juillet</t>
  </si>
  <si>
    <t>% aout</t>
  </si>
  <si>
    <t>% total</t>
  </si>
  <si>
    <t>Aout</t>
  </si>
  <si>
    <t>Septembre</t>
  </si>
  <si>
    <t>Octobre</t>
  </si>
  <si>
    <t>Novembre</t>
  </si>
  <si>
    <t>PARTENAIRES CELTIIS</t>
  </si>
  <si>
    <t>SOUSCRIPTIONS</t>
  </si>
  <si>
    <t>PART DE MARCHE</t>
  </si>
  <si>
    <t xml:space="preserve">EVOLUTION </t>
  </si>
  <si>
    <t>Dec</t>
  </si>
  <si>
    <t>Décembre</t>
  </si>
  <si>
    <t>% sept</t>
  </si>
  <si>
    <t>% oct</t>
  </si>
  <si>
    <t>% nove</t>
  </si>
  <si>
    <t>% Déc</t>
  </si>
  <si>
    <t>Janv</t>
  </si>
  <si>
    <t>POP&amp;SHOP</t>
  </si>
  <si>
    <t>Févr</t>
  </si>
  <si>
    <t>Mars</t>
  </si>
  <si>
    <t>Avr</t>
  </si>
  <si>
    <t>Mai</t>
  </si>
  <si>
    <t>Juin</t>
  </si>
  <si>
    <t>%Juin</t>
  </si>
  <si>
    <t>%Mai</t>
  </si>
  <si>
    <t>%Avr</t>
  </si>
  <si>
    <t>%Mars</t>
  </si>
  <si>
    <t>%Févr</t>
  </si>
  <si>
    <t>%Janv</t>
  </si>
  <si>
    <t>CADIIS</t>
  </si>
  <si>
    <t>CHICLIGNEE</t>
  </si>
  <si>
    <t>AFRIDIIS</t>
  </si>
  <si>
    <t>ISO_BUSINESS</t>
  </si>
  <si>
    <t>GINPAL</t>
  </si>
  <si>
    <t>Janvier</t>
  </si>
  <si>
    <t>Février</t>
  </si>
  <si>
    <t>Avril</t>
  </si>
  <si>
    <t>Juillet</t>
  </si>
  <si>
    <t>DEC</t>
  </si>
  <si>
    <t>DGS</t>
  </si>
  <si>
    <t>GOODWORK</t>
  </si>
  <si>
    <t>SOCOPRED</t>
  </si>
  <si>
    <t>SEGMENTS</t>
  </si>
  <si>
    <t>OBJECTIFS</t>
  </si>
  <si>
    <t>OBJECTIF PAR JOUR</t>
  </si>
  <si>
    <t>SEGMENT</t>
  </si>
  <si>
    <t>ONE_SHOT</t>
  </si>
  <si>
    <t>COMMISSION DU MOIS</t>
  </si>
  <si>
    <t>B2B</t>
  </si>
  <si>
    <t>B2C</t>
  </si>
  <si>
    <t xml:space="preserve"> AOUT</t>
  </si>
  <si>
    <t>SEMAINE</t>
  </si>
  <si>
    <t>PART_COMMERCIAL</t>
  </si>
  <si>
    <t>PART_RGZ</t>
  </si>
  <si>
    <t>INTERNE EXISTANT</t>
  </si>
  <si>
    <t>YANKEE</t>
  </si>
  <si>
    <t>ALPHA</t>
  </si>
  <si>
    <t>TANGO</t>
  </si>
  <si>
    <t>ZULU</t>
  </si>
  <si>
    <t>CHARLIE</t>
  </si>
  <si>
    <t>MIKE</t>
  </si>
  <si>
    <t>ANONYMAT</t>
  </si>
  <si>
    <t xml:space="preserve">CONCORDE </t>
  </si>
  <si>
    <t>MERVEILLE</t>
  </si>
  <si>
    <t>BRAVO</t>
  </si>
  <si>
    <t>FAO</t>
  </si>
  <si>
    <t xml:space="preserve">OMEGA </t>
  </si>
  <si>
    <t>Marcel</t>
  </si>
  <si>
    <t>Grand Total</t>
  </si>
  <si>
    <t>REALISATION TOTALSUR 9 MOIS</t>
  </si>
  <si>
    <t>PREVISION</t>
  </si>
  <si>
    <t>PARTENAIRE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</si>
  <si>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</si>
  <si>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</si>
  <si>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</si>
  <si>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</si>
  <si>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</si>
  <si>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</si>
  <si>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</si>
  <si>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</si>
  <si>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</si>
  <si>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Déc</t>
  </si>
  <si>
    <t>Total 09 MOIS</t>
  </si>
  <si>
    <t>Total 12  MOIS</t>
  </si>
  <si>
    <t>CONTRIBUTION GLOBALE 09 MOIS</t>
  </si>
  <si>
    <t>Étiquettes MOIS</t>
  </si>
  <si>
    <t>Total général</t>
  </si>
  <si>
    <t>REALISATION SUR 9 MOIS B2C</t>
  </si>
  <si>
    <t>PREVISION B2C</t>
  </si>
  <si>
    <t>REALISATION SUR 9 MOIS B2B</t>
  </si>
  <si>
    <t>PREVISION B2B</t>
  </si>
  <si>
    <t>Étiquettes de lignes</t>
  </si>
  <si>
    <t>TOP 10 GLOBAL PAR LOGIN</t>
  </si>
  <si>
    <t>TOP 10 VENDEUR B2C PAR LOGIN</t>
  </si>
  <si>
    <t>TOP 10 VENDEUR B2B PAR LOGIN</t>
  </si>
  <si>
    <t>EQUIPE</t>
  </si>
  <si>
    <t>pvt_rgz_dthibaut.ftth</t>
  </si>
  <si>
    <t>pms_rgz_tgloria.ftth</t>
  </si>
  <si>
    <t>pms_rgz_tosee.ftth</t>
  </si>
  <si>
    <t>pvt_rgz_mfrancois.ftth</t>
  </si>
  <si>
    <t>pvt_rgz_fadji.ftth</t>
  </si>
  <si>
    <t>pvt-rgz-olouis.ftth</t>
  </si>
  <si>
    <t>pms_rgz_hfrancine.ftth</t>
  </si>
  <si>
    <t>pms_rgz_svictor.ftth</t>
  </si>
  <si>
    <t>pvt_rgz_gsahoui.ftth</t>
  </si>
  <si>
    <t>pvt_rgz_kbernadin.ftth</t>
  </si>
  <si>
    <t>pvt_rgz_wdiane.ftth</t>
  </si>
  <si>
    <t>pvt_rgz_gkohla.ftth</t>
  </si>
  <si>
    <t>pvt_rgz_oalain.ftth</t>
  </si>
  <si>
    <t>pms_rgz_kromeo.ftth</t>
  </si>
  <si>
    <t>pvt_rgz_sulrich.ftth</t>
  </si>
  <si>
    <t>pvt_rgz_kadebayo.ftth</t>
  </si>
  <si>
    <t>pvt_rgz_dcharmelie.ftth</t>
  </si>
  <si>
    <t>pvt_rgz_akoffi.ftth</t>
  </si>
  <si>
    <t>pvt_rgz_gprince.ftth</t>
  </si>
  <si>
    <t>pvt_rgz_rclotoe.ftth</t>
  </si>
  <si>
    <t>pvt_rgz_hderrick.ftth</t>
  </si>
  <si>
    <t>pvt_rgz_aconstant.ftth</t>
  </si>
  <si>
    <t>pvt_rgz_cmessinou.ftth</t>
  </si>
  <si>
    <t>pvt_rgz_lsenakpon.ftth</t>
  </si>
  <si>
    <t>pms_rgz_cmerveille.ftth</t>
  </si>
  <si>
    <t>pvt_rgz_tletitia.ftth</t>
  </si>
  <si>
    <t>pms_rgz_wmarius.ftth</t>
  </si>
  <si>
    <t>pvt_rgz_ahugues.ftth</t>
  </si>
  <si>
    <t>pms_rgz_dconstant.ftth</t>
  </si>
  <si>
    <t>pvt_rgz_bboris.ftth</t>
  </si>
  <si>
    <t>pvt_rgz_dalexis.ftth</t>
  </si>
  <si>
    <t>pvt_rgz_afaoziath.ftth</t>
  </si>
  <si>
    <t>pvt_rgz_hgilles.ftth</t>
  </si>
  <si>
    <t>pvt_rgz_eulisse.ftth</t>
  </si>
  <si>
    <t>pvt_rgz_adidier.ftth</t>
  </si>
  <si>
    <t>GHISLAINE SAHOUI</t>
  </si>
  <si>
    <t>FRANCINE</t>
  </si>
  <si>
    <t>OSEE</t>
  </si>
  <si>
    <t>STEPHANE SENAKPON</t>
  </si>
  <si>
    <t>GLORIA</t>
  </si>
  <si>
    <t>ROGRIGUE CLOTOE</t>
  </si>
  <si>
    <t>JEAN JUNIOR SAGBOHAN</t>
  </si>
  <si>
    <t xml:space="preserve">Marius </t>
  </si>
  <si>
    <t>METONOU FRANCOIS</t>
  </si>
  <si>
    <t xml:space="preserve">SYLVIA </t>
  </si>
  <si>
    <t>ANGELO</t>
  </si>
  <si>
    <t>VINCENT</t>
  </si>
  <si>
    <t>ALAIN</t>
  </si>
  <si>
    <t>MARCEL</t>
  </si>
  <si>
    <t>ARIKE</t>
  </si>
  <si>
    <t>DIANE WASSINOU</t>
  </si>
  <si>
    <t>DERRICK</t>
  </si>
  <si>
    <t>ADEBAYO</t>
  </si>
  <si>
    <t>ROMÉO</t>
  </si>
  <si>
    <t>CONSTANT DJOSSOU</t>
  </si>
  <si>
    <t>THIBAUT</t>
  </si>
  <si>
    <t>KOHLA</t>
  </si>
  <si>
    <t>YASMINE</t>
  </si>
  <si>
    <t>BENJAMIN</t>
  </si>
  <si>
    <t>LEVI</t>
  </si>
  <si>
    <t>MESSINOU</t>
  </si>
  <si>
    <t>HABIB</t>
  </si>
  <si>
    <t>BIJOU</t>
  </si>
  <si>
    <t>FABRICE (OSEE)</t>
  </si>
  <si>
    <t>BORIS</t>
  </si>
  <si>
    <t>ALIOU</t>
  </si>
  <si>
    <t>ADISSOUN CONSTANT</t>
  </si>
  <si>
    <t>MME LINE</t>
  </si>
  <si>
    <t>LETITIA</t>
  </si>
  <si>
    <t>MADJIB</t>
  </si>
  <si>
    <t>DIDIER</t>
  </si>
  <si>
    <t>FALONE</t>
  </si>
  <si>
    <t>GEDEON</t>
  </si>
  <si>
    <t>ALICE</t>
  </si>
  <si>
    <t>JOSEPH</t>
  </si>
  <si>
    <t>ANNE MARIE</t>
  </si>
  <si>
    <t xml:space="preserve">ARSÈNE </t>
  </si>
  <si>
    <t>MR DONNE</t>
  </si>
  <si>
    <t>EULISSE</t>
  </si>
  <si>
    <t>ABDEL</t>
  </si>
  <si>
    <t>TANGUY</t>
  </si>
  <si>
    <t xml:space="preserve">ALAIN </t>
  </si>
  <si>
    <t>BIJOUX</t>
  </si>
  <si>
    <t>GILLES</t>
  </si>
  <si>
    <t>TOP 10 B2C</t>
  </si>
  <si>
    <t>TOP 10 B2B</t>
  </si>
  <si>
    <t xml:space="preserve">VENTE TOTAL PAR COMMERCIAL TOP 20 VENTE </t>
  </si>
  <si>
    <t>pvt_rgz_ojeovani.ftth</t>
  </si>
  <si>
    <t>pvt_rgz_amarcel</t>
  </si>
  <si>
    <t>pvt_rgz_mvenceslas</t>
  </si>
  <si>
    <t>MOIS</t>
  </si>
  <si>
    <t>SEM</t>
  </si>
  <si>
    <t>JOUR</t>
  </si>
  <si>
    <t>OBJECTIF OCTOBRE</t>
  </si>
  <si>
    <t>pvt_rgz_lgrace.ftth</t>
  </si>
  <si>
    <t>pms_rgz_abijou.ftth</t>
  </si>
  <si>
    <t>pvt_rgz_lcedric.ftth</t>
  </si>
  <si>
    <t>pvt_rgz_agado.ftth</t>
  </si>
  <si>
    <t>pvt_rgz_tsylvia.ftth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</si>
</sst>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sz val="11"/>
      <color theme="0"/>
      <name val="Bahnschrift Light"/>
      <family val="2"/>
    </font>
    <font>
      <sz val="11"/>
      <color theme="1"/>
      <name val="Bahnschrift Light"/>
      <family val="2"/>
    </font>
    <font>
      <b/>
      <sz val="11"/>
      <name val="Bahnschrift Light"/>
      <family val="2"/>
    </font>
    <font>
      <b/>
      <sz val="11"/>
      <color theme="1"/>
      <name val="Bahnschrift Light"/>
      <family val="2"/>
    </font>
    <font>
      <sz val="11"/>
      <name val="Bahnschrift Light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theme="1"/>
      <name val="Bahnschrift Light"/>
      <family val="2"/>
    </font>
    <font>
      <b/>
      <sz val="9"/>
      <color theme="1"/>
      <name val="Bahnschrift Light"/>
      <family val="2"/>
    </font>
    <font>
      <sz val="9"/>
      <color theme="1"/>
      <name val="Bahnschrift Light"/>
      <family val="2"/>
    </font>
    <font>
      <b/>
      <sz val="9"/>
      <color theme="0"/>
      <name val="Bahnschrift Light"/>
      <family val="2"/>
    </font>
    <font>
      <sz val="9"/>
      <color theme="0"/>
      <name val="Bahnschrift Light"/>
      <family val="2"/>
    </font>
    <font>
      <b/>
      <sz val="9"/>
      <name val="Bahnschrift Light"/>
      <family val="2"/>
    </font>
    <font>
      <b/>
      <sz val="11"/>
      <color theme="0"/>
      <name val="Bahnschrift Light"/>
      <family val="2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Bahnschrift Light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4" tint="-0.24997711111789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7" tint="0.59999389629810485"/>
        <bgColor theme="4" tint="-0.249977111117893"/>
      </patternFill>
    </fill>
    <fill>
      <patternFill patternType="solid">
        <fgColor rgb="FF92D050"/>
        <bgColor theme="4" tint="-0.249977111117893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theme="4" tint="-0.24997711111789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4">
    <xf numFmtId="0" fontId="0" fillId="0" borderId="0" xfId="0"/>
    <xf numFmtId="41" fontId="0" fillId="0" borderId="0" xfId="1" applyFont="1"/>
    <xf numFmtId="41" fontId="0" fillId="0" borderId="0" xfId="1" applyFont="1" applyAlignment="1">
      <alignment wrapText="1"/>
    </xf>
    <xf numFmtId="0" fontId="3" fillId="0" borderId="0" xfId="0" applyFont="1"/>
    <xf numFmtId="41" fontId="4" fillId="2" borderId="0" xfId="1" applyFont="1" applyFill="1" applyBorder="1" applyAlignment="1">
      <alignment horizontal="centerContinuous" vertical="justify"/>
    </xf>
    <xf numFmtId="41" fontId="4" fillId="2" borderId="2" xfId="1" applyFont="1" applyFill="1" applyBorder="1" applyAlignment="1">
      <alignment horizontal="centerContinuous" vertical="justify"/>
    </xf>
    <xf numFmtId="0" fontId="4" fillId="3" borderId="3" xfId="0" applyFont="1" applyFill="1" applyBorder="1" applyAlignment="1">
      <alignment horizontal="centerContinuous" vertical="justify"/>
    </xf>
    <xf numFmtId="0" fontId="4" fillId="3" borderId="0" xfId="0" applyFont="1" applyFill="1" applyAlignment="1">
      <alignment horizontal="centerContinuous" vertical="justify"/>
    </xf>
    <xf numFmtId="0" fontId="4" fillId="3" borderId="2" xfId="0" applyFont="1" applyFill="1" applyBorder="1" applyAlignment="1">
      <alignment horizontal="centerContinuous" vertical="justify"/>
    </xf>
    <xf numFmtId="0" fontId="4" fillId="4" borderId="3" xfId="0" applyFont="1" applyFill="1" applyBorder="1" applyAlignment="1">
      <alignment horizontal="centerContinuous" vertical="justify"/>
    </xf>
    <xf numFmtId="0" fontId="4" fillId="4" borderId="0" xfId="0" applyFont="1" applyFill="1" applyAlignment="1">
      <alignment horizontal="centerContinuous" vertical="justify"/>
    </xf>
    <xf numFmtId="0" fontId="3" fillId="2" borderId="1" xfId="0" applyFont="1" applyFill="1" applyBorder="1"/>
    <xf numFmtId="41" fontId="3" fillId="2" borderId="1" xfId="1" applyFont="1" applyFill="1" applyBorder="1" applyAlignment="1">
      <alignment wrapText="1"/>
    </xf>
    <xf numFmtId="41" fontId="3" fillId="2" borderId="1" xfId="1" applyFont="1" applyFill="1" applyBorder="1"/>
    <xf numFmtId="0" fontId="5" fillId="2" borderId="1" xfId="0" applyFont="1" applyFill="1" applyBorder="1"/>
    <xf numFmtId="0" fontId="3" fillId="0" borderId="1" xfId="0" applyFont="1" applyBorder="1"/>
    <xf numFmtId="41" fontId="3" fillId="0" borderId="1" xfId="1" applyFont="1" applyBorder="1" applyAlignment="1">
      <alignment wrapText="1"/>
    </xf>
    <xf numFmtId="41" fontId="3" fillId="0" borderId="1" xfId="1" applyFont="1" applyBorder="1"/>
    <xf numFmtId="9" fontId="3" fillId="0" borderId="1" xfId="2" applyFont="1" applyBorder="1" applyAlignment="1">
      <alignment horizontal="center" vertical="center"/>
    </xf>
    <xf numFmtId="9" fontId="3" fillId="0" borderId="1" xfId="2" applyFont="1" applyBorder="1"/>
    <xf numFmtId="0" fontId="5" fillId="0" borderId="1" xfId="0" applyFont="1" applyBorder="1"/>
    <xf numFmtId="41" fontId="5" fillId="0" borderId="1" xfId="1" applyFont="1" applyBorder="1" applyAlignment="1">
      <alignment wrapText="1"/>
    </xf>
    <xf numFmtId="41" fontId="5" fillId="0" borderId="1" xfId="1" applyFont="1" applyBorder="1"/>
    <xf numFmtId="9" fontId="5" fillId="0" borderId="1" xfId="2" applyFont="1" applyBorder="1"/>
    <xf numFmtId="9" fontId="3" fillId="0" borderId="1" xfId="2" applyFont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7" fillId="6" borderId="0" xfId="0" applyFont="1" applyFill="1" applyAlignment="1">
      <alignment horizontal="centerContinuous"/>
    </xf>
    <xf numFmtId="0" fontId="8" fillId="7" borderId="1" xfId="0" applyFont="1" applyFill="1" applyBorder="1" applyAlignment="1">
      <alignment horizontal="centerContinuous" vertical="center"/>
    </xf>
    <xf numFmtId="0" fontId="8" fillId="8" borderId="1" xfId="0" applyFont="1" applyFill="1" applyBorder="1" applyAlignment="1">
      <alignment horizontal="centerContinuous" vertical="justify"/>
    </xf>
    <xf numFmtId="0" fontId="8" fillId="9" borderId="1" xfId="0" applyFont="1" applyFill="1" applyBorder="1" applyAlignment="1">
      <alignment horizontal="centerContinuous" vertical="justify"/>
    </xf>
    <xf numFmtId="0" fontId="8" fillId="8" borderId="1" xfId="0" applyFont="1" applyFill="1" applyBorder="1" applyAlignment="1">
      <alignment horizontal="centerContinuous" vertical="center"/>
    </xf>
    <xf numFmtId="0" fontId="9" fillId="6" borderId="0" xfId="0" applyFont="1" applyFill="1" applyAlignment="1">
      <alignment horizontal="centerContinuous"/>
    </xf>
    <xf numFmtId="0" fontId="6" fillId="5" borderId="4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justify"/>
    </xf>
    <xf numFmtId="0" fontId="8" fillId="1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2" borderId="4" xfId="0" applyFont="1" applyFill="1" applyBorder="1"/>
    <xf numFmtId="0" fontId="6" fillId="2" borderId="1" xfId="0" applyFont="1" applyFill="1" applyBorder="1"/>
    <xf numFmtId="1" fontId="10" fillId="2" borderId="1" xfId="0" applyNumberFormat="1" applyFont="1" applyFill="1" applyBorder="1" applyAlignment="1">
      <alignment horizontal="center"/>
    </xf>
    <xf numFmtId="1" fontId="10" fillId="2" borderId="1" xfId="0" applyNumberFormat="1" applyFont="1" applyFill="1" applyBorder="1"/>
    <xf numFmtId="41" fontId="7" fillId="2" borderId="1" xfId="0" applyNumberFormat="1" applyFont="1" applyFill="1" applyBorder="1"/>
    <xf numFmtId="0" fontId="7" fillId="0" borderId="0" xfId="0" applyFont="1"/>
    <xf numFmtId="0" fontId="7" fillId="0" borderId="1" xfId="0" applyFont="1" applyBorder="1"/>
    <xf numFmtId="1" fontId="7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7" fillId="0" borderId="1" xfId="0" applyNumberFormat="1" applyFont="1" applyBorder="1"/>
    <xf numFmtId="41" fontId="7" fillId="0" borderId="1" xfId="1" applyFont="1" applyBorder="1" applyAlignment="1"/>
    <xf numFmtId="0" fontId="9" fillId="2" borderId="5" xfId="0" applyFont="1" applyFill="1" applyBorder="1"/>
    <xf numFmtId="0" fontId="7" fillId="2" borderId="1" xfId="0" applyFont="1" applyFill="1" applyBorder="1"/>
    <xf numFmtId="1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/>
    <xf numFmtId="41" fontId="7" fillId="2" borderId="1" xfId="1" applyFont="1" applyFill="1" applyBorder="1" applyAlignment="1"/>
    <xf numFmtId="41" fontId="7" fillId="2" borderId="1" xfId="0" applyNumberFormat="1" applyFont="1" applyFill="1" applyBorder="1" applyAlignment="1">
      <alignment vertical="center"/>
    </xf>
    <xf numFmtId="0" fontId="7" fillId="0" borderId="6" xfId="0" applyFont="1" applyBorder="1"/>
    <xf numFmtId="0" fontId="7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8" fillId="8" borderId="1" xfId="0" applyNumberFormat="1" applyFont="1" applyFill="1" applyBorder="1"/>
    <xf numFmtId="0" fontId="8" fillId="8" borderId="1" xfId="0" applyFont="1" applyFill="1" applyBorder="1"/>
    <xf numFmtId="41" fontId="9" fillId="8" borderId="1" xfId="1" applyFont="1" applyFill="1" applyBorder="1" applyAlignment="1"/>
    <xf numFmtId="9" fontId="0" fillId="0" borderId="0" xfId="2" applyFont="1"/>
    <xf numFmtId="0" fontId="14" fillId="13" borderId="0" xfId="0" applyFont="1" applyFill="1" applyAlignment="1">
      <alignment horizontal="centerContinuous" vertical="center"/>
    </xf>
    <xf numFmtId="0" fontId="14" fillId="14" borderId="0" xfId="0" applyFont="1" applyFill="1" applyAlignment="1">
      <alignment horizontal="centerContinuous" vertical="center"/>
    </xf>
    <xf numFmtId="0" fontId="15" fillId="14" borderId="0" xfId="0" applyFont="1" applyFill="1" applyAlignment="1">
      <alignment horizontal="centerContinuous" vertical="center"/>
    </xf>
    <xf numFmtId="0" fontId="15" fillId="0" borderId="0" xfId="0" applyFont="1"/>
    <xf numFmtId="0" fontId="15" fillId="13" borderId="0" xfId="0" applyFont="1" applyFill="1"/>
    <xf numFmtId="0" fontId="15" fillId="13" borderId="0" xfId="0" applyFont="1" applyFill="1" applyAlignment="1">
      <alignment horizontal="center"/>
    </xf>
    <xf numFmtId="0" fontId="17" fillId="5" borderId="1" xfId="0" applyFont="1" applyFill="1" applyBorder="1"/>
    <xf numFmtId="0" fontId="17" fillId="5" borderId="1" xfId="0" applyFont="1" applyFill="1" applyBorder="1" applyAlignment="1">
      <alignment horizontal="center"/>
    </xf>
    <xf numFmtId="0" fontId="17" fillId="15" borderId="1" xfId="0" applyFont="1" applyFill="1" applyBorder="1"/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1" fontId="15" fillId="13" borderId="1" xfId="0" applyNumberFormat="1" applyFont="1" applyFill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9" fontId="15" fillId="0" borderId="1" xfId="2" applyFont="1" applyBorder="1" applyAlignment="1">
      <alignment horizontal="center"/>
    </xf>
    <xf numFmtId="0" fontId="15" fillId="14" borderId="1" xfId="0" applyFont="1" applyFill="1" applyBorder="1" applyAlignment="1">
      <alignment horizontal="left"/>
    </xf>
    <xf numFmtId="0" fontId="15" fillId="14" borderId="1" xfId="0" applyFont="1" applyFill="1" applyBorder="1"/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1" fontId="14" fillId="13" borderId="1" xfId="0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9" fillId="13" borderId="0" xfId="0" applyFont="1" applyFill="1" applyAlignment="1">
      <alignment horizontal="centerContinuous" vertical="center"/>
    </xf>
    <xf numFmtId="0" fontId="9" fillId="14" borderId="0" xfId="0" applyFont="1" applyFill="1" applyAlignment="1">
      <alignment horizontal="centerContinuous" vertical="center"/>
    </xf>
    <xf numFmtId="0" fontId="7" fillId="14" borderId="0" xfId="0" applyFont="1" applyFill="1" applyAlignment="1">
      <alignment horizontal="centerContinuous" vertical="center"/>
    </xf>
    <xf numFmtId="0" fontId="7" fillId="13" borderId="0" xfId="0" applyFont="1" applyFill="1" applyAlignment="1">
      <alignment vertical="center"/>
    </xf>
    <xf numFmtId="0" fontId="7" fillId="13" borderId="0" xfId="0" applyFont="1" applyFill="1" applyAlignment="1">
      <alignment horizontal="center" vertical="center"/>
    </xf>
    <xf numFmtId="0" fontId="19" fillId="5" borderId="5" xfId="0" applyFont="1" applyFill="1" applyBorder="1" applyAlignment="1">
      <alignment vertical="center"/>
    </xf>
    <xf numFmtId="0" fontId="19" fillId="5" borderId="5" xfId="0" applyFont="1" applyFill="1" applyBorder="1" applyAlignment="1">
      <alignment horizontal="centerContinuous" vertical="center"/>
    </xf>
    <xf numFmtId="0" fontId="19" fillId="5" borderId="7" xfId="0" applyFont="1" applyFill="1" applyBorder="1" applyAlignment="1">
      <alignment horizontal="centerContinuous" vertical="center"/>
    </xf>
    <xf numFmtId="0" fontId="19" fillId="5" borderId="8" xfId="0" applyFont="1" applyFill="1" applyBorder="1" applyAlignment="1">
      <alignment horizontal="centerContinuous" vertical="center"/>
    </xf>
    <xf numFmtId="0" fontId="19" fillId="5" borderId="1" xfId="0" applyFont="1" applyFill="1" applyBorder="1" applyAlignment="1">
      <alignment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vertical="center"/>
    </xf>
    <xf numFmtId="0" fontId="8" fillId="15" borderId="9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1" fontId="7" fillId="13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9" fontId="7" fillId="0" borderId="1" xfId="2" applyFont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1" fontId="9" fillId="13" borderId="1" xfId="0" applyNumberFormat="1" applyFont="1" applyFill="1" applyBorder="1" applyAlignment="1">
      <alignment horizontal="center" vertical="center"/>
    </xf>
    <xf numFmtId="9" fontId="9" fillId="0" borderId="1" xfId="2" applyFont="1" applyBorder="1" applyAlignment="1">
      <alignment horizontal="center" vertical="center"/>
    </xf>
    <xf numFmtId="0" fontId="7" fillId="13" borderId="0" xfId="0" applyFont="1" applyFill="1"/>
    <xf numFmtId="0" fontId="7" fillId="13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 applyAlignment="1">
      <alignment horizontal="left"/>
    </xf>
    <xf numFmtId="9" fontId="7" fillId="0" borderId="1" xfId="2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16" fillId="5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9" fillId="5" borderId="1" xfId="0" applyFont="1" applyFill="1" applyBorder="1"/>
    <xf numFmtId="0" fontId="6" fillId="15" borderId="1" xfId="0" applyFont="1" applyFill="1" applyBorder="1" applyAlignment="1">
      <alignment horizontal="center"/>
    </xf>
    <xf numFmtId="0" fontId="0" fillId="2" borderId="0" xfId="0" applyFill="1" applyAlignment="1">
      <alignment horizontal="centerContinuous" vertical="center"/>
    </xf>
    <xf numFmtId="0" fontId="20" fillId="16" borderId="1" xfId="0" applyFont="1" applyFill="1" applyBorder="1"/>
    <xf numFmtId="0" fontId="20" fillId="4" borderId="1" xfId="0" applyFont="1" applyFill="1" applyBorder="1"/>
    <xf numFmtId="0" fontId="20" fillId="4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4" borderId="1" xfId="0" applyFont="1" applyFill="1" applyBorder="1" applyAlignment="1">
      <alignment horizontal="left"/>
    </xf>
    <xf numFmtId="0" fontId="9" fillId="16" borderId="1" xfId="0" applyFont="1" applyFill="1" applyBorder="1"/>
    <xf numFmtId="0" fontId="9" fillId="16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7" fillId="13" borderId="1" xfId="0" applyFont="1" applyFill="1" applyBorder="1"/>
    <xf numFmtId="0" fontId="7" fillId="17" borderId="1" xfId="0" applyFont="1" applyFill="1" applyBorder="1" applyAlignment="1">
      <alignment horizontal="left"/>
    </xf>
    <xf numFmtId="0" fontId="7" fillId="17" borderId="1" xfId="0" applyFont="1" applyFill="1" applyBorder="1"/>
    <xf numFmtId="0" fontId="7" fillId="18" borderId="1" xfId="0" applyFont="1" applyFill="1" applyBorder="1" applyAlignment="1">
      <alignment horizontal="left"/>
    </xf>
    <xf numFmtId="0" fontId="7" fillId="18" borderId="1" xfId="0" applyFont="1" applyFill="1" applyBorder="1"/>
    <xf numFmtId="0" fontId="9" fillId="16" borderId="1" xfId="0" applyFont="1" applyFill="1" applyBorder="1" applyAlignment="1">
      <alignment vertical="center"/>
    </xf>
    <xf numFmtId="0" fontId="7" fillId="19" borderId="0" xfId="0" applyFont="1" applyFill="1" applyAlignment="1">
      <alignment horizontal="centerContinuous" vertical="justify"/>
    </xf>
    <xf numFmtId="0" fontId="13" fillId="19" borderId="0" xfId="0" applyFont="1" applyFill="1" applyAlignment="1">
      <alignment horizontal="centerContinuous" vertical="justify"/>
    </xf>
    <xf numFmtId="0" fontId="7" fillId="20" borderId="1" xfId="0" applyFont="1" applyFill="1" applyBorder="1" applyAlignment="1">
      <alignment horizontal="left"/>
    </xf>
    <xf numFmtId="0" fontId="7" fillId="20" borderId="1" xfId="0" applyFont="1" applyFill="1" applyBorder="1"/>
    <xf numFmtId="0" fontId="23" fillId="0" borderId="0" xfId="0" applyFont="1"/>
    <xf numFmtId="41" fontId="7" fillId="0" borderId="1" xfId="0" applyNumberFormat="1" applyFont="1" applyBorder="1" applyAlignment="1">
      <alignment vertical="center"/>
    </xf>
    <xf numFmtId="41" fontId="7" fillId="0" borderId="1" xfId="1" applyFont="1" applyFill="1" applyBorder="1" applyAlignment="1"/>
    <xf numFmtId="1" fontId="19" fillId="21" borderId="1" xfId="0" applyNumberFormat="1" applyFont="1" applyFill="1" applyBorder="1" applyAlignment="1">
      <alignment horizontal="center" vertical="center"/>
    </xf>
    <xf numFmtId="0" fontId="7" fillId="0" borderId="8" xfId="0" applyFont="1" applyBorder="1"/>
    <xf numFmtId="0" fontId="0" fillId="0" borderId="11" xfId="0" applyBorder="1"/>
    <xf numFmtId="0" fontId="9" fillId="2" borderId="1" xfId="0" applyFont="1" applyFill="1" applyBorder="1" applyAlignment="1">
      <alignment vertical="center"/>
    </xf>
    <xf numFmtId="41" fontId="9" fillId="2" borderId="1" xfId="0" applyNumberFormat="1" applyFont="1" applyFill="1" applyBorder="1" applyAlignment="1">
      <alignment vertical="center"/>
    </xf>
    <xf numFmtId="41" fontId="9" fillId="2" borderId="1" xfId="1" applyFont="1" applyFill="1" applyBorder="1" applyAlignment="1"/>
    <xf numFmtId="1" fontId="9" fillId="2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/>
    <xf numFmtId="0" fontId="22" fillId="0" borderId="0" xfId="0" applyFont="1"/>
    <xf numFmtId="0" fontId="9" fillId="0" borderId="0" xfId="0" applyFont="1"/>
    <xf numFmtId="0" fontId="0" fillId="22" borderId="1" xfId="0" applyFill="1" applyBorder="1"/>
    <xf numFmtId="0" fontId="1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indent="1"/>
    </xf>
    <xf numFmtId="1" fontId="9" fillId="2" borderId="1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9" fillId="2" borderId="12" xfId="0" applyFont="1" applyFill="1" applyBorder="1"/>
    <xf numFmtId="0" fontId="21" fillId="0" borderId="8" xfId="0" applyFont="1" applyBorder="1" applyAlignment="1">
      <alignment horizontal="left" indent="1"/>
    </xf>
    <xf numFmtId="1" fontId="7" fillId="0" borderId="1" xfId="0" applyNumberFormat="1" applyFont="1" applyBorder="1" applyAlignment="1">
      <alignment horizontal="right"/>
    </xf>
    <xf numFmtId="41" fontId="7" fillId="17" borderId="1" xfId="1" applyFont="1" applyFill="1" applyBorder="1" applyAlignment="1"/>
    <xf numFmtId="1" fontId="7" fillId="17" borderId="1" xfId="0" applyNumberFormat="1" applyFont="1" applyFill="1" applyBorder="1"/>
    <xf numFmtId="1" fontId="7" fillId="17" borderId="1" xfId="0" applyNumberFormat="1" applyFont="1" applyFill="1" applyBorder="1" applyAlignment="1">
      <alignment horizontal="center"/>
    </xf>
    <xf numFmtId="1" fontId="10" fillId="17" borderId="1" xfId="0" applyNumberFormat="1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41" fontId="7" fillId="23" borderId="1" xfId="1" applyFont="1" applyFill="1" applyBorder="1" applyAlignment="1"/>
    <xf numFmtId="1" fontId="7" fillId="23" borderId="1" xfId="0" applyNumberFormat="1" applyFont="1" applyFill="1" applyBorder="1"/>
    <xf numFmtId="1" fontId="7" fillId="23" borderId="1" xfId="0" applyNumberFormat="1" applyFont="1" applyFill="1" applyBorder="1" applyAlignment="1">
      <alignment horizontal="center"/>
    </xf>
    <xf numFmtId="1" fontId="10" fillId="23" borderId="1" xfId="0" applyNumberFormat="1" applyFont="1" applyFill="1" applyBorder="1" applyAlignment="1">
      <alignment horizontal="center"/>
    </xf>
    <xf numFmtId="1" fontId="24" fillId="23" borderId="1" xfId="0" applyNumberFormat="1" applyFont="1" applyFill="1" applyBorder="1" applyAlignment="1">
      <alignment horizontal="center"/>
    </xf>
    <xf numFmtId="0" fontId="21" fillId="23" borderId="1" xfId="0" applyFont="1" applyFill="1" applyBorder="1" applyAlignment="1">
      <alignment horizontal="left" indent="1"/>
    </xf>
    <xf numFmtId="1" fontId="7" fillId="0" borderId="10" xfId="0" applyNumberFormat="1" applyFont="1" applyBorder="1"/>
    <xf numFmtId="1" fontId="7" fillId="0" borderId="10" xfId="0" applyNumberFormat="1" applyFont="1" applyBorder="1" applyAlignment="1">
      <alignment horizontal="center"/>
    </xf>
    <xf numFmtId="1" fontId="7" fillId="0" borderId="9" xfId="0" applyNumberFormat="1" applyFont="1" applyBorder="1"/>
    <xf numFmtId="1" fontId="7" fillId="0" borderId="9" xfId="0" applyNumberFormat="1" applyFont="1" applyBorder="1" applyAlignment="1">
      <alignment horizontal="center"/>
    </xf>
    <xf numFmtId="41" fontId="7" fillId="17" borderId="9" xfId="1" applyFont="1" applyFill="1" applyBorder="1" applyAlignment="1">
      <alignment horizontal="right"/>
    </xf>
    <xf numFmtId="1" fontId="7" fillId="17" borderId="9" xfId="0" applyNumberFormat="1" applyFont="1" applyFill="1" applyBorder="1"/>
    <xf numFmtId="1" fontId="7" fillId="17" borderId="9" xfId="0" applyNumberFormat="1" applyFont="1" applyFill="1" applyBorder="1" applyAlignment="1">
      <alignment horizontal="center"/>
    </xf>
    <xf numFmtId="1" fontId="10" fillId="17" borderId="9" xfId="0" applyNumberFormat="1" applyFont="1" applyFill="1" applyBorder="1" applyAlignment="1">
      <alignment horizontal="center"/>
    </xf>
    <xf numFmtId="0" fontId="9" fillId="17" borderId="13" xfId="0" applyFont="1" applyFill="1" applyBorder="1" applyAlignment="1">
      <alignment horizontal="center"/>
    </xf>
    <xf numFmtId="41" fontId="7" fillId="0" borderId="9" xfId="1" applyFont="1" applyFill="1" applyBorder="1" applyAlignment="1"/>
    <xf numFmtId="1" fontId="7" fillId="0" borderId="9" xfId="0" applyNumberFormat="1" applyFont="1" applyBorder="1" applyAlignment="1">
      <alignment horizontal="right"/>
    </xf>
    <xf numFmtId="0" fontId="23" fillId="21" borderId="1" xfId="0" applyFont="1" applyFill="1" applyBorder="1"/>
    <xf numFmtId="0" fontId="21" fillId="22" borderId="1" xfId="0" applyFont="1" applyFill="1" applyBorder="1" applyAlignment="1">
      <alignment horizontal="left" indent="1"/>
    </xf>
    <xf numFmtId="41" fontId="7" fillId="17" borderId="1" xfId="1" applyFont="1" applyFill="1" applyBorder="1" applyAlignment="1">
      <alignment horizontal="right"/>
    </xf>
    <xf numFmtId="1" fontId="9" fillId="17" borderId="1" xfId="0" applyNumberFormat="1" applyFont="1" applyFill="1" applyBorder="1" applyAlignment="1">
      <alignment horizontal="center"/>
    </xf>
    <xf numFmtId="1" fontId="8" fillId="17" borderId="1" xfId="0" applyNumberFormat="1" applyFont="1" applyFill="1" applyBorder="1" applyAlignment="1">
      <alignment horizontal="center"/>
    </xf>
    <xf numFmtId="0" fontId="9" fillId="17" borderId="8" xfId="0" applyFont="1" applyFill="1" applyBorder="1" applyAlignment="1">
      <alignment horizontal="center"/>
    </xf>
    <xf numFmtId="1" fontId="8" fillId="2" borderId="1" xfId="0" applyNumberFormat="1" applyFont="1" applyFill="1" applyBorder="1"/>
    <xf numFmtId="1" fontId="19" fillId="21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1" fontId="7" fillId="17" borderId="1" xfId="0" applyNumberFormat="1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evolution_partena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1"/>
      <sheetName val="Sheet2"/>
    </sheetNames>
    <sheetDataSet>
      <sheetData sheetId="0"/>
      <sheetData sheetId="1"/>
      <sheetData sheetId="2">
        <row r="5">
          <cell r="L5" t="str">
            <v>Grand Total</v>
          </cell>
        </row>
        <row r="6">
          <cell r="L6">
            <v>4</v>
          </cell>
        </row>
        <row r="7">
          <cell r="L7">
            <v>2</v>
          </cell>
        </row>
        <row r="8">
          <cell r="L8">
            <v>1</v>
          </cell>
        </row>
        <row r="9">
          <cell r="L9">
            <v>1</v>
          </cell>
        </row>
        <row r="10">
          <cell r="L10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DCE6-5B83-4AFB-BDA6-04A10D1E260A}">
  <sheetPr>
    <tabColor rgb="FFFF0000"/>
  </sheetPr>
  <dimension ref="A1:N87"/>
  <sheetViews>
    <sheetView zoomScale="80" zoomScaleNormal="80" workbookViewId="0">
      <pane ySplit="1" topLeftCell="A32" activePane="bottomLeft" state="frozen"/>
      <selection activeCell="O25" sqref="O25"/>
      <selection pane="bottomLeft" activeCell="O25" sqref="O25"/>
    </sheetView>
  </sheetViews>
  <sheetFormatPr defaultColWidth="10.6640625" defaultRowHeight="14.25" x14ac:dyDescent="0.45"/>
  <cols>
    <col min="1" max="1" width="21.86328125" customWidth="1"/>
    <col min="2" max="2" width="23.86328125" bestFit="1" customWidth="1"/>
    <col min="3" max="3" width="5.6640625" style="152" bestFit="1" customWidth="1"/>
    <col min="4" max="4" width="5" bestFit="1" customWidth="1"/>
    <col min="5" max="5" width="5.6640625" bestFit="1" customWidth="1"/>
    <col min="6" max="6" width="5.53125" bestFit="1" customWidth="1"/>
    <col min="7" max="7" width="6" bestFit="1" customWidth="1"/>
    <col min="9" max="9" width="0" hidden="1" customWidth="1"/>
    <col min="10" max="10" width="10" hidden="1" customWidth="1"/>
    <col min="11" max="11" width="10.796875" hidden="1" customWidth="1"/>
    <col min="12" max="12" width="12.86328125" hidden="1" customWidth="1"/>
    <col min="13" max="13" width="22.6640625" hidden="1" customWidth="1"/>
    <col min="14" max="14" width="13" hidden="1" customWidth="1"/>
  </cols>
  <sheetData>
    <row r="1" spans="1:14" x14ac:dyDescent="0.45">
      <c r="A1" s="25" t="s">
        <v>65</v>
      </c>
      <c r="B1" s="25" t="s">
        <v>66</v>
      </c>
      <c r="C1" s="210" t="s">
        <v>212</v>
      </c>
      <c r="D1" s="211"/>
      <c r="E1" s="211"/>
      <c r="F1" s="211"/>
      <c r="G1" s="211"/>
      <c r="J1" s="28" t="s">
        <v>69</v>
      </c>
      <c r="K1" s="29"/>
      <c r="L1" s="30"/>
      <c r="M1" s="31" t="s">
        <v>70</v>
      </c>
      <c r="N1" s="31"/>
    </row>
    <row r="2" spans="1:14" x14ac:dyDescent="0.45">
      <c r="A2" s="32"/>
      <c r="B2" s="25"/>
      <c r="C2" s="97" t="s">
        <v>211</v>
      </c>
      <c r="D2" s="25" t="s">
        <v>210</v>
      </c>
      <c r="E2" s="25" t="s">
        <v>209</v>
      </c>
      <c r="F2" s="33" t="s">
        <v>71</v>
      </c>
      <c r="G2" s="33" t="s">
        <v>72</v>
      </c>
      <c r="J2" s="35" t="s">
        <v>71</v>
      </c>
      <c r="K2" s="35" t="s">
        <v>72</v>
      </c>
      <c r="L2" s="36" t="s">
        <v>21</v>
      </c>
      <c r="M2" s="37" t="s">
        <v>75</v>
      </c>
      <c r="N2" s="37" t="s">
        <v>76</v>
      </c>
    </row>
    <row r="3" spans="1:14" x14ac:dyDescent="0.45">
      <c r="A3" s="38" t="s">
        <v>77</v>
      </c>
      <c r="B3" s="39"/>
      <c r="C3" s="205">
        <f>SUM(C8,C25,C32,C40,C47,C53)</f>
        <v>49</v>
      </c>
      <c r="D3" s="163">
        <f>SUM(D8:D53)</f>
        <v>457.5</v>
      </c>
      <c r="E3" s="163">
        <f>SUM(F3:G3)</f>
        <v>980</v>
      </c>
      <c r="F3" s="163">
        <f>SUM(F8,F25,F32,F40,F47,F53)</f>
        <v>130</v>
      </c>
      <c r="G3" s="163">
        <f>SUM(G8,G25,G32,G40,G47,G53)</f>
        <v>850</v>
      </c>
      <c r="J3" s="204">
        <f>SUM(J8,J25,J32,J40,J47,J53)</f>
        <v>1560000</v>
      </c>
      <c r="K3" s="204">
        <f>SUM(K8,K25,K32,K40,K47,K53)</f>
        <v>8500000</v>
      </c>
      <c r="L3" s="204">
        <f>SUM(L8,L25,L32,L40,L47,L53)</f>
        <v>10060000</v>
      </c>
      <c r="M3" s="204">
        <f>SUM(M8,M25,M32,M40,M47,M53)</f>
        <v>8048000</v>
      </c>
      <c r="N3" s="204">
        <f>SUM(N8,N25,N32,N40,N47,N53)</f>
        <v>2012000</v>
      </c>
    </row>
    <row r="4" spans="1:14" x14ac:dyDescent="0.45">
      <c r="A4" s="64" t="s">
        <v>91</v>
      </c>
      <c r="B4" s="64" t="s">
        <v>91</v>
      </c>
      <c r="C4" s="205">
        <f>SUM(C3,C61,C69,C78,C84)</f>
        <v>74.349999999999994</v>
      </c>
      <c r="D4" s="63">
        <f>SUM(D3,D61,D69,D78,D84)</f>
        <v>584.25</v>
      </c>
      <c r="E4" s="63">
        <f>SUM(E3,E61,E69,E78,E84)</f>
        <v>1487</v>
      </c>
      <c r="F4" s="63">
        <f>SUM(F3,F61,F69,F78,F84)</f>
        <v>240</v>
      </c>
      <c r="G4" s="63">
        <f>SUM(G3,G61,G69,G78,G84)</f>
        <v>1247</v>
      </c>
      <c r="J4" s="63">
        <f>SUM(J3,J61,J69,J78,J84)</f>
        <v>2880000</v>
      </c>
      <c r="K4" s="63">
        <f>SUM(K3,K61,K69,K78,K84)</f>
        <v>12470000</v>
      </c>
      <c r="L4" s="63">
        <f>SUM(L3,L61,L69,L78,L84)</f>
        <v>15350000</v>
      </c>
      <c r="M4" s="63">
        <f>SUM(M3,M61,M69,M78,M84)</f>
        <v>12568000</v>
      </c>
      <c r="N4" s="63">
        <f>SUM(N3,N61,N69,N78,N84)</f>
        <v>2782000</v>
      </c>
    </row>
    <row r="5" spans="1:14" x14ac:dyDescent="0.45">
      <c r="J5" s="204"/>
      <c r="K5" s="204"/>
      <c r="L5" s="204"/>
      <c r="M5" s="204"/>
      <c r="N5" s="204"/>
    </row>
    <row r="6" spans="1:14" x14ac:dyDescent="0.45">
      <c r="B6" s="166"/>
      <c r="C6" s="208" t="s">
        <v>212</v>
      </c>
      <c r="D6" s="209"/>
      <c r="E6" s="209"/>
      <c r="F6" s="209"/>
      <c r="G6" s="209"/>
      <c r="J6" s="204"/>
      <c r="K6" s="204"/>
      <c r="L6" s="204"/>
      <c r="M6" s="204"/>
      <c r="N6" s="204"/>
    </row>
    <row r="7" spans="1:14" x14ac:dyDescent="0.45">
      <c r="B7" s="166"/>
      <c r="C7" s="97" t="s">
        <v>211</v>
      </c>
      <c r="D7" s="97" t="s">
        <v>210</v>
      </c>
      <c r="E7" s="97" t="s">
        <v>209</v>
      </c>
      <c r="F7" s="33" t="s">
        <v>71</v>
      </c>
      <c r="G7" s="33" t="s">
        <v>72</v>
      </c>
      <c r="J7" s="204"/>
      <c r="K7" s="204"/>
      <c r="L7" s="204"/>
      <c r="M7" s="204"/>
      <c r="N7" s="204"/>
    </row>
    <row r="8" spans="1:14" x14ac:dyDescent="0.45">
      <c r="A8" s="43"/>
      <c r="B8" s="203" t="s">
        <v>78</v>
      </c>
      <c r="C8" s="155">
        <f t="shared" ref="C8:C20" si="0">D8/5</f>
        <v>17</v>
      </c>
      <c r="D8" s="201">
        <f t="shared" ref="D8:D20" si="1">E8/4</f>
        <v>85</v>
      </c>
      <c r="E8" s="202">
        <f t="shared" ref="E8:E20" si="2">SUM(F8:G8)</f>
        <v>340</v>
      </c>
      <c r="F8" s="201">
        <f>SUM(F9:F20)</f>
        <v>50</v>
      </c>
      <c r="G8" s="201">
        <f>SUM(G9:G20)</f>
        <v>290</v>
      </c>
      <c r="J8" s="177">
        <f t="shared" ref="J8:J20" si="3">12000*F8</f>
        <v>600000</v>
      </c>
      <c r="K8" s="177">
        <f t="shared" ref="K8:K20" si="4">10000*G8</f>
        <v>2900000</v>
      </c>
      <c r="L8" s="200">
        <f t="shared" ref="L8:L20" si="5">SUM(J8:K8)</f>
        <v>3500000</v>
      </c>
      <c r="M8" s="176">
        <f t="shared" ref="M8:M20" si="6">L8*0.8</f>
        <v>2800000</v>
      </c>
      <c r="N8" s="176">
        <f t="shared" ref="N8:N20" si="7">L8*0.2</f>
        <v>700000</v>
      </c>
    </row>
    <row r="9" spans="1:14" x14ac:dyDescent="0.45">
      <c r="B9" s="170" t="s">
        <v>121</v>
      </c>
      <c r="C9" s="155">
        <f t="shared" si="0"/>
        <v>2.2000000000000002</v>
      </c>
      <c r="D9" s="45">
        <f t="shared" si="1"/>
        <v>11</v>
      </c>
      <c r="E9" s="60">
        <f t="shared" si="2"/>
        <v>44</v>
      </c>
      <c r="F9" s="60">
        <v>14</v>
      </c>
      <c r="G9" s="60">
        <v>30</v>
      </c>
      <c r="J9" s="47">
        <f t="shared" si="3"/>
        <v>168000</v>
      </c>
      <c r="K9" s="47">
        <f t="shared" si="4"/>
        <v>300000</v>
      </c>
      <c r="L9" s="175">
        <f t="shared" si="5"/>
        <v>468000</v>
      </c>
      <c r="M9" s="154">
        <f t="shared" si="6"/>
        <v>374400</v>
      </c>
      <c r="N9" s="154">
        <f t="shared" si="7"/>
        <v>93600</v>
      </c>
    </row>
    <row r="10" spans="1:14" x14ac:dyDescent="0.45">
      <c r="B10" s="170" t="s">
        <v>122</v>
      </c>
      <c r="C10" s="155">
        <f t="shared" si="0"/>
        <v>1.75</v>
      </c>
      <c r="D10" s="45">
        <f t="shared" si="1"/>
        <v>8.75</v>
      </c>
      <c r="E10" s="60">
        <f t="shared" si="2"/>
        <v>35</v>
      </c>
      <c r="F10" s="60">
        <v>5</v>
      </c>
      <c r="G10" s="60">
        <v>30</v>
      </c>
      <c r="J10" s="47">
        <f t="shared" si="3"/>
        <v>60000</v>
      </c>
      <c r="K10" s="47">
        <f t="shared" si="4"/>
        <v>300000</v>
      </c>
      <c r="L10" s="175">
        <f t="shared" si="5"/>
        <v>360000</v>
      </c>
      <c r="M10" s="154">
        <f t="shared" si="6"/>
        <v>288000</v>
      </c>
      <c r="N10" s="154">
        <f t="shared" si="7"/>
        <v>72000</v>
      </c>
    </row>
    <row r="11" spans="1:14" x14ac:dyDescent="0.45">
      <c r="B11" s="170" t="s">
        <v>123</v>
      </c>
      <c r="C11" s="155">
        <f t="shared" si="0"/>
        <v>1.7</v>
      </c>
      <c r="D11" s="45">
        <f t="shared" si="1"/>
        <v>8.5</v>
      </c>
      <c r="E11" s="60">
        <f t="shared" si="2"/>
        <v>34</v>
      </c>
      <c r="F11" s="60">
        <v>4</v>
      </c>
      <c r="G11" s="60">
        <v>30</v>
      </c>
      <c r="J11" s="47">
        <f t="shared" si="3"/>
        <v>48000</v>
      </c>
      <c r="K11" s="47">
        <f t="shared" si="4"/>
        <v>300000</v>
      </c>
      <c r="L11" s="175">
        <f t="shared" si="5"/>
        <v>348000</v>
      </c>
      <c r="M11" s="154">
        <f t="shared" si="6"/>
        <v>278400</v>
      </c>
      <c r="N11" s="154">
        <f t="shared" si="7"/>
        <v>69600</v>
      </c>
    </row>
    <row r="12" spans="1:14" x14ac:dyDescent="0.45">
      <c r="B12" s="170" t="s">
        <v>135</v>
      </c>
      <c r="C12" s="155">
        <f t="shared" si="0"/>
        <v>1.4</v>
      </c>
      <c r="D12" s="45">
        <f t="shared" si="1"/>
        <v>7</v>
      </c>
      <c r="E12" s="60">
        <f t="shared" si="2"/>
        <v>28</v>
      </c>
      <c r="F12" s="60">
        <v>3</v>
      </c>
      <c r="G12" s="60">
        <v>25</v>
      </c>
      <c r="J12" s="47">
        <f t="shared" si="3"/>
        <v>36000</v>
      </c>
      <c r="K12" s="47">
        <f t="shared" si="4"/>
        <v>250000</v>
      </c>
      <c r="L12" s="175">
        <f t="shared" si="5"/>
        <v>286000</v>
      </c>
      <c r="M12" s="154">
        <f t="shared" si="6"/>
        <v>228800</v>
      </c>
      <c r="N12" s="154">
        <f t="shared" si="7"/>
        <v>57200</v>
      </c>
    </row>
    <row r="13" spans="1:14" x14ac:dyDescent="0.45">
      <c r="B13" s="170" t="s">
        <v>130</v>
      </c>
      <c r="C13" s="155">
        <f t="shared" si="0"/>
        <v>1.8</v>
      </c>
      <c r="D13" s="45">
        <f t="shared" si="1"/>
        <v>9</v>
      </c>
      <c r="E13" s="60">
        <f t="shared" si="2"/>
        <v>36</v>
      </c>
      <c r="F13" s="60">
        <v>6</v>
      </c>
      <c r="G13" s="60">
        <v>30</v>
      </c>
      <c r="J13" s="47">
        <f t="shared" si="3"/>
        <v>72000</v>
      </c>
      <c r="K13" s="47">
        <f t="shared" si="4"/>
        <v>300000</v>
      </c>
      <c r="L13" s="175">
        <f t="shared" si="5"/>
        <v>372000</v>
      </c>
      <c r="M13" s="154">
        <f t="shared" si="6"/>
        <v>297600</v>
      </c>
      <c r="N13" s="154">
        <f t="shared" si="7"/>
        <v>74400</v>
      </c>
    </row>
    <row r="14" spans="1:14" x14ac:dyDescent="0.45">
      <c r="B14" s="170" t="s">
        <v>138</v>
      </c>
      <c r="C14" s="155">
        <f t="shared" si="0"/>
        <v>1.5</v>
      </c>
      <c r="D14" s="45">
        <f t="shared" si="1"/>
        <v>7.5</v>
      </c>
      <c r="E14" s="60">
        <f t="shared" si="2"/>
        <v>30</v>
      </c>
      <c r="F14" s="60">
        <v>5</v>
      </c>
      <c r="G14" s="60">
        <v>25</v>
      </c>
      <c r="J14" s="47">
        <f t="shared" si="3"/>
        <v>60000</v>
      </c>
      <c r="K14" s="47">
        <f t="shared" si="4"/>
        <v>250000</v>
      </c>
      <c r="L14" s="175">
        <f t="shared" si="5"/>
        <v>310000</v>
      </c>
      <c r="M14" s="154">
        <f t="shared" si="6"/>
        <v>248000</v>
      </c>
      <c r="N14" s="154">
        <f t="shared" si="7"/>
        <v>62000</v>
      </c>
    </row>
    <row r="15" spans="1:14" x14ac:dyDescent="0.45">
      <c r="B15" s="170" t="s">
        <v>140</v>
      </c>
      <c r="C15" s="155">
        <f t="shared" si="0"/>
        <v>1.25</v>
      </c>
      <c r="D15" s="45">
        <f t="shared" si="1"/>
        <v>6.25</v>
      </c>
      <c r="E15" s="60">
        <f t="shared" si="2"/>
        <v>25</v>
      </c>
      <c r="F15" s="60">
        <v>5</v>
      </c>
      <c r="G15" s="60">
        <v>20</v>
      </c>
      <c r="J15" s="47">
        <f t="shared" si="3"/>
        <v>60000</v>
      </c>
      <c r="K15" s="47">
        <f t="shared" si="4"/>
        <v>200000</v>
      </c>
      <c r="L15" s="175">
        <f t="shared" si="5"/>
        <v>260000</v>
      </c>
      <c r="M15" s="154">
        <f t="shared" si="6"/>
        <v>208000</v>
      </c>
      <c r="N15" s="154">
        <f t="shared" si="7"/>
        <v>52000</v>
      </c>
    </row>
    <row r="16" spans="1:14" x14ac:dyDescent="0.45">
      <c r="B16" s="170" t="s">
        <v>141</v>
      </c>
      <c r="C16" s="155">
        <f t="shared" si="0"/>
        <v>1.1499999999999999</v>
      </c>
      <c r="D16" s="45">
        <f t="shared" si="1"/>
        <v>5.75</v>
      </c>
      <c r="E16" s="60">
        <f t="shared" si="2"/>
        <v>23</v>
      </c>
      <c r="F16" s="60">
        <v>3</v>
      </c>
      <c r="G16" s="60">
        <v>20</v>
      </c>
      <c r="J16" s="47">
        <f t="shared" si="3"/>
        <v>36000</v>
      </c>
      <c r="K16" s="47">
        <f t="shared" si="4"/>
        <v>200000</v>
      </c>
      <c r="L16" s="175">
        <f t="shared" si="5"/>
        <v>236000</v>
      </c>
      <c r="M16" s="154">
        <f t="shared" si="6"/>
        <v>188800</v>
      </c>
      <c r="N16" s="154">
        <f t="shared" si="7"/>
        <v>47200</v>
      </c>
    </row>
    <row r="17" spans="1:14" x14ac:dyDescent="0.45">
      <c r="B17" s="170" t="s">
        <v>142</v>
      </c>
      <c r="C17" s="155">
        <f t="shared" si="0"/>
        <v>2</v>
      </c>
      <c r="D17" s="45">
        <f t="shared" si="1"/>
        <v>10</v>
      </c>
      <c r="E17" s="60">
        <f t="shared" si="2"/>
        <v>40</v>
      </c>
      <c r="F17" s="60">
        <v>5</v>
      </c>
      <c r="G17" s="60">
        <v>35</v>
      </c>
      <c r="J17" s="47">
        <f t="shared" si="3"/>
        <v>60000</v>
      </c>
      <c r="K17" s="47">
        <f t="shared" si="4"/>
        <v>350000</v>
      </c>
      <c r="L17" s="175">
        <f t="shared" si="5"/>
        <v>410000</v>
      </c>
      <c r="M17" s="154">
        <f t="shared" si="6"/>
        <v>328000</v>
      </c>
      <c r="N17" s="154">
        <f t="shared" si="7"/>
        <v>82000</v>
      </c>
    </row>
    <row r="18" spans="1:14" x14ac:dyDescent="0.45">
      <c r="B18" s="170" t="s">
        <v>144</v>
      </c>
      <c r="C18" s="155">
        <f t="shared" si="0"/>
        <v>1</v>
      </c>
      <c r="D18" s="45">
        <f t="shared" si="1"/>
        <v>5</v>
      </c>
      <c r="E18" s="60">
        <f t="shared" si="2"/>
        <v>20</v>
      </c>
      <c r="F18" s="60">
        <v>0</v>
      </c>
      <c r="G18" s="60">
        <v>20</v>
      </c>
      <c r="J18" s="47">
        <f t="shared" si="3"/>
        <v>0</v>
      </c>
      <c r="K18" s="47">
        <f t="shared" si="4"/>
        <v>200000</v>
      </c>
      <c r="L18" s="175">
        <f t="shared" si="5"/>
        <v>200000</v>
      </c>
      <c r="M18" s="154">
        <f t="shared" si="6"/>
        <v>160000</v>
      </c>
      <c r="N18" s="154">
        <f t="shared" si="7"/>
        <v>40000</v>
      </c>
    </row>
    <row r="19" spans="1:14" x14ac:dyDescent="0.45">
      <c r="B19" s="170" t="s">
        <v>149</v>
      </c>
      <c r="C19" s="155">
        <f t="shared" si="0"/>
        <v>0.75</v>
      </c>
      <c r="D19" s="45">
        <f t="shared" si="1"/>
        <v>3.75</v>
      </c>
      <c r="E19" s="60">
        <f t="shared" si="2"/>
        <v>15</v>
      </c>
      <c r="F19" s="60">
        <v>0</v>
      </c>
      <c r="G19" s="60">
        <v>15</v>
      </c>
      <c r="J19" s="47">
        <f t="shared" si="3"/>
        <v>0</v>
      </c>
      <c r="K19" s="47">
        <f t="shared" si="4"/>
        <v>150000</v>
      </c>
      <c r="L19" s="175">
        <f t="shared" si="5"/>
        <v>150000</v>
      </c>
      <c r="M19" s="154">
        <f t="shared" si="6"/>
        <v>120000</v>
      </c>
      <c r="N19" s="154">
        <f t="shared" si="7"/>
        <v>30000</v>
      </c>
    </row>
    <row r="20" spans="1:14" x14ac:dyDescent="0.45">
      <c r="B20" s="170" t="s">
        <v>152</v>
      </c>
      <c r="C20" s="155">
        <f t="shared" si="0"/>
        <v>0.5</v>
      </c>
      <c r="D20" s="45">
        <f t="shared" si="1"/>
        <v>2.5</v>
      </c>
      <c r="E20" s="60">
        <f t="shared" si="2"/>
        <v>10</v>
      </c>
      <c r="F20" s="60">
        <v>0</v>
      </c>
      <c r="G20" s="60">
        <v>10</v>
      </c>
      <c r="J20" s="47">
        <f t="shared" si="3"/>
        <v>0</v>
      </c>
      <c r="K20" s="47">
        <f t="shared" si="4"/>
        <v>100000</v>
      </c>
      <c r="L20" s="175">
        <f t="shared" si="5"/>
        <v>100000</v>
      </c>
      <c r="M20" s="154">
        <f t="shared" si="6"/>
        <v>80000</v>
      </c>
      <c r="N20" s="154">
        <f t="shared" si="7"/>
        <v>20000</v>
      </c>
    </row>
    <row r="21" spans="1:14" x14ac:dyDescent="0.45">
      <c r="B21" s="199" t="s">
        <v>151</v>
      </c>
      <c r="C21" s="198"/>
      <c r="D21" s="168"/>
      <c r="E21" s="168"/>
      <c r="F21" s="168"/>
      <c r="G21" s="168"/>
      <c r="J21" s="168"/>
      <c r="K21" s="168"/>
      <c r="L21" s="168"/>
      <c r="M21" s="168"/>
      <c r="N21" s="168"/>
    </row>
    <row r="22" spans="1:14" x14ac:dyDescent="0.45">
      <c r="C22"/>
      <c r="J22" s="168"/>
      <c r="K22" s="168"/>
      <c r="L22" s="168"/>
      <c r="M22" s="168"/>
      <c r="N22" s="168"/>
    </row>
    <row r="23" spans="1:14" x14ac:dyDescent="0.45">
      <c r="B23" s="166"/>
      <c r="C23" s="208" t="s">
        <v>212</v>
      </c>
      <c r="D23" s="209"/>
      <c r="E23" s="209"/>
      <c r="F23" s="209"/>
      <c r="G23" s="209"/>
      <c r="J23" s="168"/>
      <c r="K23" s="168"/>
      <c r="L23" s="168"/>
      <c r="M23" s="168"/>
      <c r="N23" s="168"/>
    </row>
    <row r="24" spans="1:14" x14ac:dyDescent="0.45">
      <c r="B24" s="166"/>
      <c r="C24" s="155" t="s">
        <v>211</v>
      </c>
      <c r="D24" s="97" t="s">
        <v>210</v>
      </c>
      <c r="E24" s="97" t="s">
        <v>209</v>
      </c>
      <c r="F24" s="33" t="s">
        <v>71</v>
      </c>
      <c r="G24" s="33" t="s">
        <v>72</v>
      </c>
      <c r="J24" s="168"/>
      <c r="K24" s="168"/>
      <c r="L24" s="168"/>
      <c r="M24" s="168"/>
      <c r="N24" s="168"/>
    </row>
    <row r="25" spans="1:14" x14ac:dyDescent="0.45">
      <c r="A25" s="43"/>
      <c r="B25" s="180" t="s">
        <v>79</v>
      </c>
      <c r="C25" s="155">
        <f>SUM(C26:C28)</f>
        <v>5</v>
      </c>
      <c r="D25" s="178">
        <f>E25/4</f>
        <v>25</v>
      </c>
      <c r="E25" s="179">
        <f>SUM(F25:G25)</f>
        <v>100</v>
      </c>
      <c r="F25" s="178">
        <f>SUM(F26:F28)</f>
        <v>30</v>
      </c>
      <c r="G25" s="178">
        <f>SUM(G26:G28)</f>
        <v>70</v>
      </c>
      <c r="J25" s="177">
        <f>12000*F25</f>
        <v>360000</v>
      </c>
      <c r="K25" s="177">
        <f>10000*G25</f>
        <v>700000</v>
      </c>
      <c r="L25" s="176">
        <f>SUM(J25:K25)</f>
        <v>1060000</v>
      </c>
      <c r="M25" s="176">
        <f>L25*0.8</f>
        <v>848000</v>
      </c>
      <c r="N25" s="176">
        <f>L25*0.2</f>
        <v>212000</v>
      </c>
    </row>
    <row r="26" spans="1:14" x14ac:dyDescent="0.45">
      <c r="A26" s="43"/>
      <c r="B26" s="170" t="s">
        <v>120</v>
      </c>
      <c r="C26" s="155">
        <f>D26/5</f>
        <v>2.65</v>
      </c>
      <c r="D26" s="45">
        <f>E26/4</f>
        <v>13.25</v>
      </c>
      <c r="E26" s="60">
        <f>SUM(F26:G26)</f>
        <v>53</v>
      </c>
      <c r="F26" s="45">
        <v>24</v>
      </c>
      <c r="G26" s="45">
        <v>29</v>
      </c>
      <c r="J26" s="47">
        <f>12000*F26</f>
        <v>288000</v>
      </c>
      <c r="K26" s="47">
        <f>10000*G26</f>
        <v>290000</v>
      </c>
      <c r="L26" s="175">
        <f>SUM(J26:K26)</f>
        <v>578000</v>
      </c>
      <c r="M26" s="154">
        <f>L26*0.8</f>
        <v>462400</v>
      </c>
      <c r="N26" s="154">
        <f>L26*0.2</f>
        <v>115600</v>
      </c>
    </row>
    <row r="27" spans="1:14" x14ac:dyDescent="0.45">
      <c r="A27" s="43"/>
      <c r="B27" s="170" t="s">
        <v>147</v>
      </c>
      <c r="C27" s="155">
        <f>D27/5</f>
        <v>1.45</v>
      </c>
      <c r="D27" s="45">
        <f>E27/4</f>
        <v>7.25</v>
      </c>
      <c r="E27" s="60">
        <f>SUM(F27:G27)</f>
        <v>29</v>
      </c>
      <c r="F27" s="45">
        <v>4</v>
      </c>
      <c r="G27" s="45">
        <v>25</v>
      </c>
      <c r="J27" s="47">
        <f>12000*F27</f>
        <v>48000</v>
      </c>
      <c r="K27" s="47">
        <f>10000*G27</f>
        <v>250000</v>
      </c>
      <c r="L27" s="175">
        <f>SUM(J27:K27)</f>
        <v>298000</v>
      </c>
      <c r="M27" s="154">
        <f>L27*0.8</f>
        <v>238400</v>
      </c>
      <c r="N27" s="154">
        <f>L27*0.2</f>
        <v>59600</v>
      </c>
    </row>
    <row r="28" spans="1:14" x14ac:dyDescent="0.45">
      <c r="A28" s="43"/>
      <c r="B28" s="170" t="s">
        <v>148</v>
      </c>
      <c r="C28" s="155">
        <f>D28/5</f>
        <v>0.9</v>
      </c>
      <c r="D28" s="45">
        <f>E28/4</f>
        <v>4.5</v>
      </c>
      <c r="E28" s="60">
        <f>SUM(F28:G28)</f>
        <v>18</v>
      </c>
      <c r="F28" s="45">
        <v>2</v>
      </c>
      <c r="G28" s="45">
        <v>16</v>
      </c>
      <c r="J28" s="47">
        <f>12000*F28</f>
        <v>24000</v>
      </c>
      <c r="K28" s="47">
        <f>10000*G28</f>
        <v>160000</v>
      </c>
      <c r="L28" s="175">
        <f>SUM(J28:K28)</f>
        <v>184000</v>
      </c>
      <c r="M28" s="154">
        <f>L28*0.8</f>
        <v>147200</v>
      </c>
      <c r="N28" s="154">
        <f>L28*0.2</f>
        <v>36800</v>
      </c>
    </row>
    <row r="29" spans="1:14" x14ac:dyDescent="0.45">
      <c r="C29"/>
      <c r="J29" s="168"/>
      <c r="K29" s="168"/>
      <c r="L29" s="168"/>
      <c r="M29" s="168"/>
      <c r="N29" s="168"/>
    </row>
    <row r="30" spans="1:14" x14ac:dyDescent="0.45">
      <c r="A30" s="43"/>
      <c r="B30" s="166"/>
      <c r="C30" s="208" t="s">
        <v>212</v>
      </c>
      <c r="D30" s="209"/>
      <c r="E30" s="209"/>
      <c r="F30" s="209"/>
      <c r="G30" s="209"/>
      <c r="J30" s="189"/>
      <c r="K30" s="189"/>
      <c r="L30" s="197"/>
      <c r="M30" s="196"/>
      <c r="N30" s="196"/>
    </row>
    <row r="31" spans="1:14" x14ac:dyDescent="0.45">
      <c r="A31" s="43"/>
      <c r="B31" s="166"/>
      <c r="C31" s="155" t="s">
        <v>211</v>
      </c>
      <c r="D31" s="97" t="s">
        <v>210</v>
      </c>
      <c r="E31" s="97" t="s">
        <v>209</v>
      </c>
      <c r="F31" s="33" t="s">
        <v>71</v>
      </c>
      <c r="G31" s="33" t="s">
        <v>72</v>
      </c>
      <c r="J31" s="189"/>
      <c r="K31" s="189"/>
      <c r="L31" s="197"/>
      <c r="M31" s="196"/>
      <c r="N31" s="196"/>
    </row>
    <row r="32" spans="1:14" x14ac:dyDescent="0.45">
      <c r="A32" s="43"/>
      <c r="B32" s="195" t="s">
        <v>80</v>
      </c>
      <c r="C32" s="155">
        <f>SUM(C33:C36)</f>
        <v>10.499999999999998</v>
      </c>
      <c r="D32" s="193">
        <f>E32/4</f>
        <v>52.5</v>
      </c>
      <c r="E32" s="194">
        <f>SUM(F32:G32)</f>
        <v>210</v>
      </c>
      <c r="F32" s="193">
        <f>SUM(F33:F36)</f>
        <v>10</v>
      </c>
      <c r="G32" s="193">
        <f>SUM(G33:G36)</f>
        <v>200</v>
      </c>
      <c r="J32" s="192">
        <f>12000*F32</f>
        <v>120000</v>
      </c>
      <c r="K32" s="192">
        <f>10000*G32</f>
        <v>2000000</v>
      </c>
      <c r="L32" s="191">
        <f>SUM(J32:K32)</f>
        <v>2120000</v>
      </c>
      <c r="M32" s="191">
        <f>L32*0.8</f>
        <v>1696000</v>
      </c>
      <c r="N32" s="191">
        <f>L32*0.2</f>
        <v>424000</v>
      </c>
    </row>
    <row r="33" spans="1:14" x14ac:dyDescent="0.45">
      <c r="A33" s="43"/>
      <c r="B33" s="170" t="s">
        <v>119</v>
      </c>
      <c r="C33" s="155">
        <f>D33/5</f>
        <v>3.1</v>
      </c>
      <c r="D33" s="45">
        <f>E33/4</f>
        <v>15.5</v>
      </c>
      <c r="E33" s="60">
        <f>SUM(F33:G33)</f>
        <v>62</v>
      </c>
      <c r="F33" s="190"/>
      <c r="G33" s="190">
        <v>62</v>
      </c>
      <c r="J33" s="47">
        <f>12000*F33</f>
        <v>0</v>
      </c>
      <c r="K33" s="189">
        <f>10000*G33</f>
        <v>620000</v>
      </c>
      <c r="L33" s="175">
        <f>SUM(J33:K33)</f>
        <v>620000</v>
      </c>
      <c r="M33" s="154">
        <f>L33*0.8</f>
        <v>496000</v>
      </c>
      <c r="N33" s="154">
        <f>L33*0.2</f>
        <v>124000</v>
      </c>
    </row>
    <row r="34" spans="1:14" x14ac:dyDescent="0.45">
      <c r="A34" s="43"/>
      <c r="B34" s="170" t="s">
        <v>125</v>
      </c>
      <c r="C34" s="155">
        <f>D34/5</f>
        <v>2.5</v>
      </c>
      <c r="D34" s="45">
        <f>E34/4</f>
        <v>12.5</v>
      </c>
      <c r="E34" s="60">
        <f>SUM(F34:G34)</f>
        <v>50</v>
      </c>
      <c r="F34" s="190">
        <v>2</v>
      </c>
      <c r="G34" s="190">
        <v>48</v>
      </c>
      <c r="J34" s="47">
        <f>12000*F34</f>
        <v>24000</v>
      </c>
      <c r="K34" s="189">
        <f>10000*G34</f>
        <v>480000</v>
      </c>
      <c r="L34" s="175">
        <f>SUM(J34:K34)</f>
        <v>504000</v>
      </c>
      <c r="M34" s="154">
        <f>L34*0.8</f>
        <v>403200</v>
      </c>
      <c r="N34" s="154">
        <f>L34*0.2</f>
        <v>100800</v>
      </c>
    </row>
    <row r="35" spans="1:14" x14ac:dyDescent="0.45">
      <c r="A35" s="43"/>
      <c r="B35" s="170" t="s">
        <v>129</v>
      </c>
      <c r="C35" s="155">
        <f>D35/5</f>
        <v>2.5499999999999998</v>
      </c>
      <c r="D35" s="45">
        <f>E35/4</f>
        <v>12.75</v>
      </c>
      <c r="E35" s="60">
        <f>SUM(F35:G35)</f>
        <v>51</v>
      </c>
      <c r="F35" s="190">
        <v>5</v>
      </c>
      <c r="G35" s="190">
        <v>46</v>
      </c>
      <c r="J35" s="47">
        <f>12000*F35</f>
        <v>60000</v>
      </c>
      <c r="K35" s="189">
        <f>10000*G35</f>
        <v>460000</v>
      </c>
      <c r="L35" s="175">
        <f>SUM(J35:K35)</f>
        <v>520000</v>
      </c>
      <c r="M35" s="154">
        <f>L35*0.8</f>
        <v>416000</v>
      </c>
      <c r="N35" s="154">
        <f>L35*0.2</f>
        <v>104000</v>
      </c>
    </row>
    <row r="36" spans="1:14" x14ac:dyDescent="0.45">
      <c r="A36" s="43"/>
      <c r="B36" s="170" t="s">
        <v>127</v>
      </c>
      <c r="C36" s="155">
        <f>D36/5</f>
        <v>2.35</v>
      </c>
      <c r="D36" s="45">
        <f>E36/4</f>
        <v>11.75</v>
      </c>
      <c r="E36" s="60">
        <f>SUM(F36:G36)</f>
        <v>47</v>
      </c>
      <c r="F36" s="188">
        <v>3</v>
      </c>
      <c r="G36" s="188">
        <v>44</v>
      </c>
      <c r="J36" s="47">
        <f>12000*F36</f>
        <v>36000</v>
      </c>
      <c r="K36" s="187">
        <f>10000*G36</f>
        <v>440000</v>
      </c>
      <c r="L36" s="175">
        <f>SUM(J36:K36)</f>
        <v>476000</v>
      </c>
      <c r="M36" s="154">
        <f>L36*0.8</f>
        <v>380800</v>
      </c>
      <c r="N36" s="154">
        <f>L36*0.2</f>
        <v>95200</v>
      </c>
    </row>
    <row r="37" spans="1:14" x14ac:dyDescent="0.45">
      <c r="C37"/>
      <c r="J37" s="168"/>
      <c r="K37" s="168"/>
      <c r="L37" s="168"/>
      <c r="M37" s="168"/>
      <c r="N37" s="168"/>
    </row>
    <row r="38" spans="1:14" x14ac:dyDescent="0.45">
      <c r="A38" s="43"/>
      <c r="B38" s="166"/>
      <c r="C38" s="208" t="s">
        <v>212</v>
      </c>
      <c r="D38" s="209"/>
      <c r="E38" s="209"/>
      <c r="F38" s="209"/>
      <c r="G38" s="209"/>
      <c r="J38" s="47"/>
      <c r="K38" s="187"/>
      <c r="L38" s="175"/>
      <c r="M38" s="154"/>
      <c r="N38" s="154"/>
    </row>
    <row r="39" spans="1:14" x14ac:dyDescent="0.45">
      <c r="A39" s="43"/>
      <c r="B39" s="166"/>
      <c r="C39" s="155" t="s">
        <v>211</v>
      </c>
      <c r="D39" s="97" t="s">
        <v>210</v>
      </c>
      <c r="E39" s="97" t="s">
        <v>209</v>
      </c>
      <c r="F39" s="33" t="s">
        <v>71</v>
      </c>
      <c r="G39" s="33" t="s">
        <v>72</v>
      </c>
      <c r="J39" s="47"/>
      <c r="K39" s="187"/>
      <c r="L39" s="175"/>
      <c r="M39" s="154"/>
      <c r="N39" s="154"/>
    </row>
    <row r="40" spans="1:14" x14ac:dyDescent="0.45">
      <c r="A40" s="43"/>
      <c r="B40" s="180" t="s">
        <v>81</v>
      </c>
      <c r="C40" s="155">
        <f>D40/5</f>
        <v>6</v>
      </c>
      <c r="D40" s="178">
        <f>E40/4</f>
        <v>30</v>
      </c>
      <c r="E40" s="179">
        <f>SUM(F40:G40)</f>
        <v>120</v>
      </c>
      <c r="F40" s="178">
        <f>SUM(F41:F42)</f>
        <v>20</v>
      </c>
      <c r="G40" s="178">
        <f>SUM(G41:G42)</f>
        <v>100</v>
      </c>
      <c r="J40" s="177">
        <f>12000*F40</f>
        <v>240000</v>
      </c>
      <c r="K40" s="177">
        <f>10000*G40</f>
        <v>1000000</v>
      </c>
      <c r="L40" s="176">
        <f>SUM(J40:K40)</f>
        <v>1240000</v>
      </c>
      <c r="M40" s="176">
        <f>L40*0.8</f>
        <v>992000</v>
      </c>
      <c r="N40" s="176">
        <f>L40*0.2</f>
        <v>248000</v>
      </c>
    </row>
    <row r="41" spans="1:14" x14ac:dyDescent="0.45">
      <c r="A41" s="43"/>
      <c r="B41" s="170" t="s">
        <v>124</v>
      </c>
      <c r="C41" s="155">
        <f>D41/5</f>
        <v>3</v>
      </c>
      <c r="D41" s="45">
        <f>E41/4</f>
        <v>15</v>
      </c>
      <c r="E41" s="60">
        <f>SUM(F41:G41)</f>
        <v>60</v>
      </c>
      <c r="F41" s="45">
        <v>10</v>
      </c>
      <c r="G41" s="45">
        <v>50</v>
      </c>
      <c r="J41" s="47">
        <f>12000*F41</f>
        <v>120000</v>
      </c>
      <c r="K41" s="47">
        <f>10000*G41</f>
        <v>500000</v>
      </c>
      <c r="L41" s="175">
        <f>SUM(J41:K41)</f>
        <v>620000</v>
      </c>
      <c r="M41" s="154">
        <f>L41*0.8</f>
        <v>496000</v>
      </c>
      <c r="N41" s="154">
        <f>L41*0.2</f>
        <v>124000</v>
      </c>
    </row>
    <row r="42" spans="1:14" x14ac:dyDescent="0.45">
      <c r="A42" s="43"/>
      <c r="B42" s="170" t="s">
        <v>146</v>
      </c>
      <c r="C42" s="155">
        <f>D42/5</f>
        <v>3</v>
      </c>
      <c r="D42" s="45">
        <f>E42/4</f>
        <v>15</v>
      </c>
      <c r="E42" s="60">
        <f>SUM(F42:G42)</f>
        <v>60</v>
      </c>
      <c r="F42" s="45">
        <v>10</v>
      </c>
      <c r="G42" s="45">
        <v>50</v>
      </c>
      <c r="J42" s="47">
        <f>12000*F42</f>
        <v>120000</v>
      </c>
      <c r="K42" s="47">
        <f>10000*G42</f>
        <v>500000</v>
      </c>
      <c r="L42" s="175">
        <f>SUM(J42:K42)</f>
        <v>620000</v>
      </c>
      <c r="M42" s="154">
        <f>L42*0.8</f>
        <v>496000</v>
      </c>
      <c r="N42" s="154">
        <f>L42*0.2</f>
        <v>124000</v>
      </c>
    </row>
    <row r="43" spans="1:14" ht="18" customHeight="1" x14ac:dyDescent="0.45">
      <c r="A43" s="43"/>
      <c r="B43" s="186" t="s">
        <v>153</v>
      </c>
      <c r="C43" s="185"/>
      <c r="D43" s="183"/>
      <c r="E43" s="184"/>
      <c r="F43" s="183"/>
      <c r="G43" s="183"/>
      <c r="J43" s="182"/>
      <c r="K43" s="182"/>
      <c r="L43" s="181"/>
      <c r="M43" s="181"/>
      <c r="N43" s="181"/>
    </row>
    <row r="44" spans="1:14" x14ac:dyDescent="0.45">
      <c r="C44"/>
      <c r="J44" s="168"/>
      <c r="K44" s="168"/>
      <c r="L44" s="168"/>
      <c r="M44" s="168"/>
      <c r="N44" s="168"/>
    </row>
    <row r="45" spans="1:14" ht="18" customHeight="1" x14ac:dyDescent="0.45">
      <c r="A45" s="43"/>
      <c r="B45" s="166"/>
      <c r="C45" s="212" t="s">
        <v>212</v>
      </c>
      <c r="D45" s="213"/>
      <c r="E45" s="213"/>
      <c r="F45" s="213"/>
      <c r="G45" s="213"/>
      <c r="J45" s="182"/>
      <c r="K45" s="182"/>
      <c r="L45" s="181"/>
      <c r="M45" s="181"/>
      <c r="N45" s="181"/>
    </row>
    <row r="46" spans="1:14" ht="18" customHeight="1" x14ac:dyDescent="0.45">
      <c r="A46" s="43"/>
      <c r="B46" s="166"/>
      <c r="C46" s="155" t="s">
        <v>211</v>
      </c>
      <c r="D46" s="97" t="s">
        <v>210</v>
      </c>
      <c r="E46" s="97" t="s">
        <v>209</v>
      </c>
      <c r="F46" s="33" t="s">
        <v>71</v>
      </c>
      <c r="G46" s="33" t="s">
        <v>72</v>
      </c>
      <c r="J46" s="182"/>
      <c r="K46" s="182"/>
      <c r="L46" s="181"/>
      <c r="M46" s="181"/>
      <c r="N46" s="181"/>
    </row>
    <row r="47" spans="1:14" x14ac:dyDescent="0.45">
      <c r="A47" s="43"/>
      <c r="B47" s="180" t="s">
        <v>82</v>
      </c>
      <c r="C47" s="155">
        <f>D47/5</f>
        <v>4</v>
      </c>
      <c r="D47" s="178">
        <f>E47/4</f>
        <v>20</v>
      </c>
      <c r="E47" s="179">
        <f>SUM(F47:G47)</f>
        <v>80</v>
      </c>
      <c r="F47" s="178">
        <f>SUM(F48:F49)</f>
        <v>10</v>
      </c>
      <c r="G47" s="178">
        <f>SUM(G48:G49)</f>
        <v>70</v>
      </c>
      <c r="J47" s="177">
        <f>12000*F47</f>
        <v>120000</v>
      </c>
      <c r="K47" s="177">
        <f>10000*G47</f>
        <v>700000</v>
      </c>
      <c r="L47" s="176">
        <f>SUM(J47:K47)</f>
        <v>820000</v>
      </c>
      <c r="M47" s="176">
        <f>L47*0.8</f>
        <v>656000</v>
      </c>
      <c r="N47" s="176">
        <f>L47*0.2</f>
        <v>164000</v>
      </c>
    </row>
    <row r="48" spans="1:14" x14ac:dyDescent="0.45">
      <c r="A48" s="43"/>
      <c r="B48" s="170" t="s">
        <v>145</v>
      </c>
      <c r="C48" s="155">
        <f>D48/5</f>
        <v>2.25</v>
      </c>
      <c r="D48" s="45">
        <f>E48/4</f>
        <v>11.25</v>
      </c>
      <c r="E48" s="60">
        <f>SUM(F48:G48)</f>
        <v>45</v>
      </c>
      <c r="F48" s="45">
        <v>5</v>
      </c>
      <c r="G48" s="45">
        <v>40</v>
      </c>
      <c r="J48" s="47">
        <f>12000*F48</f>
        <v>60000</v>
      </c>
      <c r="K48" s="47">
        <f>10000*G48</f>
        <v>400000</v>
      </c>
      <c r="L48" s="175">
        <f>SUM(J48:K48)</f>
        <v>460000</v>
      </c>
      <c r="M48" s="154">
        <f>L48*0.8</f>
        <v>368000</v>
      </c>
      <c r="N48" s="154">
        <f>L48*0.2</f>
        <v>92000</v>
      </c>
    </row>
    <row r="49" spans="1:14" x14ac:dyDescent="0.45">
      <c r="A49" s="43"/>
      <c r="B49" s="170" t="s">
        <v>217</v>
      </c>
      <c r="C49" s="155">
        <f>D49/5</f>
        <v>1.75</v>
      </c>
      <c r="D49" s="45">
        <f>E49/4</f>
        <v>8.75</v>
      </c>
      <c r="E49" s="60">
        <f>SUM(F49:G49)</f>
        <v>35</v>
      </c>
      <c r="F49" s="45">
        <v>5</v>
      </c>
      <c r="G49" s="45">
        <v>30</v>
      </c>
      <c r="J49" s="47">
        <f>12000*F49</f>
        <v>60000</v>
      </c>
      <c r="K49" s="47">
        <f>10000*G49</f>
        <v>300000</v>
      </c>
      <c r="L49" s="175">
        <f>SUM(J49:K49)</f>
        <v>360000</v>
      </c>
      <c r="M49" s="154">
        <f>L49*0.8</f>
        <v>288000</v>
      </c>
      <c r="N49" s="154">
        <f>L49*0.2</f>
        <v>72000</v>
      </c>
    </row>
    <row r="50" spans="1:14" x14ac:dyDescent="0.45">
      <c r="C50"/>
      <c r="J50" s="168"/>
      <c r="K50" s="168"/>
      <c r="L50" s="168"/>
      <c r="M50" s="168"/>
      <c r="N50" s="168"/>
    </row>
    <row r="51" spans="1:14" x14ac:dyDescent="0.45">
      <c r="A51" s="43"/>
      <c r="B51" s="166"/>
      <c r="C51" s="208" t="s">
        <v>212</v>
      </c>
      <c r="D51" s="209"/>
      <c r="E51" s="209"/>
      <c r="F51" s="209"/>
      <c r="G51" s="209"/>
      <c r="J51" s="47"/>
      <c r="K51" s="47"/>
      <c r="L51" s="175"/>
      <c r="M51" s="154"/>
      <c r="N51" s="154"/>
    </row>
    <row r="52" spans="1:14" x14ac:dyDescent="0.45">
      <c r="A52" s="43"/>
      <c r="B52" s="166"/>
      <c r="C52" s="155" t="s">
        <v>211</v>
      </c>
      <c r="D52" s="97" t="s">
        <v>210</v>
      </c>
      <c r="E52" s="97" t="s">
        <v>209</v>
      </c>
      <c r="F52" s="33" t="s">
        <v>71</v>
      </c>
      <c r="G52" s="33" t="s">
        <v>72</v>
      </c>
      <c r="J52" s="47"/>
      <c r="K52" s="47"/>
      <c r="L52" s="175"/>
      <c r="M52" s="154"/>
      <c r="N52" s="154"/>
    </row>
    <row r="53" spans="1:14" x14ac:dyDescent="0.45">
      <c r="A53" s="43"/>
      <c r="B53" s="180" t="s">
        <v>83</v>
      </c>
      <c r="C53" s="155">
        <f>SUM(C54:C57)</f>
        <v>6.5</v>
      </c>
      <c r="D53" s="178">
        <f>E53/4</f>
        <v>32.5</v>
      </c>
      <c r="E53" s="179">
        <f>SUM(F53:G53)</f>
        <v>130</v>
      </c>
      <c r="F53" s="178">
        <f>SUM(F54:F57)</f>
        <v>10</v>
      </c>
      <c r="G53" s="178">
        <f>SUM(G54:G57)</f>
        <v>120</v>
      </c>
      <c r="J53" s="177">
        <f>12000*F53</f>
        <v>120000</v>
      </c>
      <c r="K53" s="177">
        <f>10000*G53</f>
        <v>1200000</v>
      </c>
      <c r="L53" s="176">
        <f>SUM(J53:K53)</f>
        <v>1320000</v>
      </c>
      <c r="M53" s="176">
        <f>L53*0.8</f>
        <v>1056000</v>
      </c>
      <c r="N53" s="176">
        <f>L53*0.2</f>
        <v>264000</v>
      </c>
    </row>
    <row r="54" spans="1:14" x14ac:dyDescent="0.45">
      <c r="A54" s="43"/>
      <c r="B54" s="170" t="s">
        <v>131</v>
      </c>
      <c r="C54" s="155">
        <f>D54/5</f>
        <v>1.55</v>
      </c>
      <c r="D54" s="45">
        <f>E54/4</f>
        <v>7.75</v>
      </c>
      <c r="E54" s="45">
        <f>SUM(F54:G54)</f>
        <v>31</v>
      </c>
      <c r="F54" s="45">
        <v>1</v>
      </c>
      <c r="G54" s="45">
        <v>30</v>
      </c>
      <c r="J54" s="47">
        <f>12000*F54</f>
        <v>12000</v>
      </c>
      <c r="K54" s="47">
        <f>10000*G54</f>
        <v>300000</v>
      </c>
      <c r="L54" s="175">
        <f>SUM(J54:K54)</f>
        <v>312000</v>
      </c>
      <c r="M54" s="154">
        <f>L54*0.8</f>
        <v>249600</v>
      </c>
      <c r="N54" s="154">
        <f>L54*0.2</f>
        <v>62400</v>
      </c>
    </row>
    <row r="55" spans="1:14" x14ac:dyDescent="0.45">
      <c r="A55" s="43"/>
      <c r="B55" s="170" t="s">
        <v>133</v>
      </c>
      <c r="C55" s="155">
        <f>D55/5</f>
        <v>2.25</v>
      </c>
      <c r="D55" s="45">
        <f>E55/4</f>
        <v>11.25</v>
      </c>
      <c r="E55" s="60">
        <f>SUM(F55:G55)</f>
        <v>45</v>
      </c>
      <c r="F55" s="45">
        <v>5</v>
      </c>
      <c r="G55" s="45">
        <v>40</v>
      </c>
      <c r="J55" s="47">
        <f>12000*F55</f>
        <v>60000</v>
      </c>
      <c r="K55" s="47">
        <f>10000*G55</f>
        <v>400000</v>
      </c>
      <c r="L55" s="175">
        <f>SUM(J55:K55)</f>
        <v>460000</v>
      </c>
      <c r="M55" s="154">
        <f>L55*0.8</f>
        <v>368000</v>
      </c>
      <c r="N55" s="154">
        <f>L55*0.2</f>
        <v>92000</v>
      </c>
    </row>
    <row r="56" spans="1:14" x14ac:dyDescent="0.45">
      <c r="A56" s="43"/>
      <c r="B56" s="170" t="s">
        <v>139</v>
      </c>
      <c r="C56" s="155">
        <f>D56/5</f>
        <v>1.6</v>
      </c>
      <c r="D56" s="45">
        <f>E56/4</f>
        <v>8</v>
      </c>
      <c r="E56" s="60">
        <f>SUM(F56:G56)</f>
        <v>32</v>
      </c>
      <c r="F56" s="45">
        <v>2</v>
      </c>
      <c r="G56" s="45">
        <v>30</v>
      </c>
      <c r="J56" s="47">
        <f>12000*F56</f>
        <v>24000</v>
      </c>
      <c r="K56" s="47">
        <f>10000*G56</f>
        <v>300000</v>
      </c>
      <c r="L56" s="175">
        <f>SUM(J56:K56)</f>
        <v>324000</v>
      </c>
      <c r="M56" s="154">
        <f>L56*0.8</f>
        <v>259200</v>
      </c>
      <c r="N56" s="154">
        <f>L56*0.2</f>
        <v>64800</v>
      </c>
    </row>
    <row r="57" spans="1:14" x14ac:dyDescent="0.45">
      <c r="A57" s="43"/>
      <c r="B57" s="170" t="s">
        <v>132</v>
      </c>
      <c r="C57" s="155">
        <f>D57/5</f>
        <v>1.1000000000000001</v>
      </c>
      <c r="D57" s="45">
        <f>E57/4</f>
        <v>5.5</v>
      </c>
      <c r="E57" s="60">
        <f>SUM(F57:G57)</f>
        <v>22</v>
      </c>
      <c r="F57" s="45">
        <v>2</v>
      </c>
      <c r="G57" s="45">
        <v>20</v>
      </c>
      <c r="J57" s="47">
        <f>12000*F57</f>
        <v>24000</v>
      </c>
      <c r="K57" s="47">
        <f>10000*G57</f>
        <v>200000</v>
      </c>
      <c r="L57" s="175">
        <f>SUM(J57:K57)</f>
        <v>224000</v>
      </c>
      <c r="M57" s="154">
        <f>L57*0.8</f>
        <v>179200</v>
      </c>
      <c r="N57" s="154">
        <f>L57*0.2</f>
        <v>44800</v>
      </c>
    </row>
    <row r="58" spans="1:14" x14ac:dyDescent="0.45">
      <c r="C58"/>
      <c r="J58" s="168"/>
      <c r="K58" s="168"/>
      <c r="L58" s="168"/>
      <c r="M58" s="168"/>
      <c r="N58" s="168"/>
    </row>
    <row r="59" spans="1:14" x14ac:dyDescent="0.45">
      <c r="A59" s="43"/>
      <c r="B59" s="166"/>
      <c r="C59" s="208" t="s">
        <v>212</v>
      </c>
      <c r="D59" s="209"/>
      <c r="E59" s="209"/>
      <c r="F59" s="209"/>
      <c r="G59" s="209"/>
      <c r="J59" s="47"/>
      <c r="K59" s="47"/>
      <c r="L59" s="175"/>
      <c r="M59" s="154"/>
      <c r="N59" s="154"/>
    </row>
    <row r="60" spans="1:14" x14ac:dyDescent="0.45">
      <c r="A60" s="43"/>
      <c r="B60" s="166"/>
      <c r="C60" s="155" t="s">
        <v>211</v>
      </c>
      <c r="D60" s="97" t="s">
        <v>210</v>
      </c>
      <c r="E60" s="97" t="s">
        <v>209</v>
      </c>
      <c r="F60" s="33" t="s">
        <v>71</v>
      </c>
      <c r="G60" s="33" t="s">
        <v>72</v>
      </c>
      <c r="J60" s="47"/>
      <c r="K60" s="47"/>
      <c r="L60" s="175"/>
      <c r="M60" s="154"/>
      <c r="N60" s="154"/>
    </row>
    <row r="61" spans="1:14" x14ac:dyDescent="0.45">
      <c r="A61" s="165" t="s">
        <v>84</v>
      </c>
      <c r="B61" s="172" t="s">
        <v>84</v>
      </c>
      <c r="C61" s="155">
        <f>SUM(C62:C65)</f>
        <v>7</v>
      </c>
      <c r="D61" s="164">
        <f>E61/4</f>
        <v>35</v>
      </c>
      <c r="E61" s="163">
        <f>SUM(F61:G61)</f>
        <v>140</v>
      </c>
      <c r="F61" s="163">
        <f>SUM(F62:F65)</f>
        <v>20</v>
      </c>
      <c r="G61" s="163">
        <f>SUM(G62:G65)</f>
        <v>120</v>
      </c>
      <c r="J61" s="161">
        <f>12000*F61</f>
        <v>240000</v>
      </c>
      <c r="K61" s="161">
        <f>10000*G61</f>
        <v>1200000</v>
      </c>
      <c r="L61" s="160">
        <f>SUM(J61:K61)</f>
        <v>1440000</v>
      </c>
      <c r="M61" s="159">
        <f>L61*1</f>
        <v>1440000</v>
      </c>
      <c r="N61" s="159">
        <f>L61*0</f>
        <v>0</v>
      </c>
    </row>
    <row r="62" spans="1:14" x14ac:dyDescent="0.45">
      <c r="A62" s="167"/>
      <c r="B62" s="174" t="s">
        <v>137</v>
      </c>
      <c r="C62" s="155">
        <f>D62/5</f>
        <v>1.75</v>
      </c>
      <c r="D62" s="45">
        <f>E62/4</f>
        <v>8.75</v>
      </c>
      <c r="E62" s="60">
        <f>SUM(F62:G62)</f>
        <v>35</v>
      </c>
      <c r="F62" s="46">
        <v>5</v>
      </c>
      <c r="G62" s="46">
        <v>30</v>
      </c>
      <c r="J62" s="47">
        <f>12000*F62</f>
        <v>60000</v>
      </c>
      <c r="K62" s="47">
        <f>10000*G62</f>
        <v>300000</v>
      </c>
      <c r="L62" s="154">
        <f>SUM(J62:K62)</f>
        <v>360000</v>
      </c>
      <c r="M62" s="153">
        <f>L62*1</f>
        <v>360000</v>
      </c>
      <c r="N62" s="153">
        <f>L62*0</f>
        <v>0</v>
      </c>
    </row>
    <row r="63" spans="1:14" x14ac:dyDescent="0.45">
      <c r="A63" s="167"/>
      <c r="B63" s="174" t="s">
        <v>136</v>
      </c>
      <c r="C63" s="155">
        <f>D63/5</f>
        <v>1.75</v>
      </c>
      <c r="D63" s="45">
        <f>E63/4</f>
        <v>8.75</v>
      </c>
      <c r="E63" s="60">
        <f>SUM(F63:G63)</f>
        <v>35</v>
      </c>
      <c r="F63" s="46">
        <v>5</v>
      </c>
      <c r="G63" s="46">
        <v>30</v>
      </c>
      <c r="J63" s="47">
        <f>12000*F63</f>
        <v>60000</v>
      </c>
      <c r="K63" s="47">
        <f>10000*G63</f>
        <v>300000</v>
      </c>
      <c r="L63" s="154">
        <f>SUM(J63:K63)</f>
        <v>360000</v>
      </c>
      <c r="M63" s="153">
        <f>L63*1</f>
        <v>360000</v>
      </c>
      <c r="N63" s="153"/>
    </row>
    <row r="64" spans="1:14" x14ac:dyDescent="0.45">
      <c r="A64" s="167"/>
      <c r="B64" s="174" t="s">
        <v>216</v>
      </c>
      <c r="C64" s="155">
        <f>D64/5</f>
        <v>1.75</v>
      </c>
      <c r="D64" s="45">
        <f>E64/4</f>
        <v>8.75</v>
      </c>
      <c r="E64" s="60">
        <f>SUM(F64:G64)</f>
        <v>35</v>
      </c>
      <c r="F64" s="46">
        <v>5</v>
      </c>
      <c r="G64" s="46">
        <v>30</v>
      </c>
      <c r="J64" s="47">
        <f>12000*F64</f>
        <v>60000</v>
      </c>
      <c r="K64" s="47">
        <f>10000*G64</f>
        <v>300000</v>
      </c>
      <c r="L64" s="154">
        <f>SUM(J64:K64)</f>
        <v>360000</v>
      </c>
      <c r="M64" s="153">
        <f>L64*1</f>
        <v>360000</v>
      </c>
      <c r="N64" s="153"/>
    </row>
    <row r="65" spans="1:14" x14ac:dyDescent="0.45">
      <c r="A65" s="167"/>
      <c r="B65" s="174" t="s">
        <v>215</v>
      </c>
      <c r="C65" s="155">
        <f>D65/5</f>
        <v>1.75</v>
      </c>
      <c r="D65" s="45">
        <f>E65/4</f>
        <v>8.75</v>
      </c>
      <c r="E65" s="60">
        <f>SUM(F65:G65)</f>
        <v>35</v>
      </c>
      <c r="F65" s="46">
        <v>5</v>
      </c>
      <c r="G65" s="46">
        <v>30</v>
      </c>
      <c r="J65" s="47">
        <f>12000*F65</f>
        <v>60000</v>
      </c>
      <c r="K65" s="47">
        <f>10000*G65</f>
        <v>300000</v>
      </c>
      <c r="L65" s="154">
        <f>SUM(J65:K65)</f>
        <v>360000</v>
      </c>
      <c r="M65" s="153">
        <f>L65*1</f>
        <v>360000</v>
      </c>
      <c r="N65" s="153"/>
    </row>
    <row r="66" spans="1:14" x14ac:dyDescent="0.45">
      <c r="C66"/>
      <c r="J66" s="168"/>
      <c r="K66" s="168"/>
      <c r="L66" s="168"/>
      <c r="M66" s="168"/>
      <c r="N66" s="168"/>
    </row>
    <row r="67" spans="1:14" x14ac:dyDescent="0.45">
      <c r="A67" s="167"/>
      <c r="B67" s="166"/>
      <c r="C67" s="208" t="s">
        <v>212</v>
      </c>
      <c r="D67" s="209"/>
      <c r="E67" s="209"/>
      <c r="F67" s="209"/>
      <c r="G67" s="209"/>
      <c r="J67" s="47"/>
      <c r="K67" s="47"/>
      <c r="L67" s="154"/>
      <c r="M67" s="153"/>
      <c r="N67" s="153"/>
    </row>
    <row r="68" spans="1:14" x14ac:dyDescent="0.45">
      <c r="A68" s="167"/>
      <c r="B68" s="166"/>
      <c r="C68" s="155" t="s">
        <v>211</v>
      </c>
      <c r="D68" s="97" t="s">
        <v>210</v>
      </c>
      <c r="E68" s="97" t="s">
        <v>209</v>
      </c>
      <c r="F68" s="33" t="s">
        <v>71</v>
      </c>
      <c r="G68" s="33" t="s">
        <v>72</v>
      </c>
      <c r="J68" s="47"/>
      <c r="K68" s="47"/>
      <c r="L68" s="154"/>
      <c r="M68" s="153"/>
      <c r="N68" s="153"/>
    </row>
    <row r="69" spans="1:14" x14ac:dyDescent="0.45">
      <c r="A69" s="173" t="s">
        <v>85</v>
      </c>
      <c r="B69" s="172" t="s">
        <v>85</v>
      </c>
      <c r="C69" s="155">
        <f t="shared" ref="C69:C74" si="8">D69/5</f>
        <v>8.35</v>
      </c>
      <c r="D69" s="171">
        <f t="shared" ref="D69:D74" si="9">E69/4</f>
        <v>41.75</v>
      </c>
      <c r="E69" s="163">
        <f t="shared" ref="E69:E74" si="10">SUM(F69:G69)</f>
        <v>167</v>
      </c>
      <c r="F69" s="162">
        <f>SUM(F70:F74)</f>
        <v>10</v>
      </c>
      <c r="G69" s="162">
        <f>SUM(G70:G74)</f>
        <v>157</v>
      </c>
      <c r="J69" s="161">
        <f t="shared" ref="J69:J74" si="11">12000*F69</f>
        <v>120000</v>
      </c>
      <c r="K69" s="161">
        <f t="shared" ref="K69:K74" si="12">10000*G69</f>
        <v>1570000</v>
      </c>
      <c r="L69" s="160">
        <f t="shared" ref="L69:L74" si="13">SUM(J69:K69)</f>
        <v>1690000</v>
      </c>
      <c r="M69" s="159">
        <f t="shared" ref="M69:M74" si="14">L69*0.8</f>
        <v>1352000</v>
      </c>
      <c r="N69" s="158">
        <f t="shared" ref="N69:N74" si="15">L69*0.2</f>
        <v>338000</v>
      </c>
    </row>
    <row r="70" spans="1:14" x14ac:dyDescent="0.45">
      <c r="B70" s="170" t="s">
        <v>128</v>
      </c>
      <c r="C70" s="155">
        <f t="shared" si="8"/>
        <v>2</v>
      </c>
      <c r="D70" s="45">
        <f t="shared" si="9"/>
        <v>10</v>
      </c>
      <c r="E70" s="60">
        <f t="shared" si="10"/>
        <v>40</v>
      </c>
      <c r="F70" s="44">
        <v>1</v>
      </c>
      <c r="G70" s="44">
        <v>39</v>
      </c>
      <c r="J70" s="44">
        <f t="shared" si="11"/>
        <v>12000</v>
      </c>
      <c r="K70" s="47">
        <f t="shared" si="12"/>
        <v>390000</v>
      </c>
      <c r="L70" s="154">
        <f t="shared" si="13"/>
        <v>402000</v>
      </c>
      <c r="M70" s="154">
        <f t="shared" si="14"/>
        <v>321600</v>
      </c>
      <c r="N70" s="154">
        <f t="shared" si="15"/>
        <v>80400</v>
      </c>
    </row>
    <row r="71" spans="1:14" x14ac:dyDescent="0.45">
      <c r="B71" s="170" t="s">
        <v>143</v>
      </c>
      <c r="C71" s="155">
        <f t="shared" si="8"/>
        <v>1.55</v>
      </c>
      <c r="D71" s="45">
        <f t="shared" si="9"/>
        <v>7.75</v>
      </c>
      <c r="E71" s="60">
        <f t="shared" si="10"/>
        <v>31</v>
      </c>
      <c r="F71" s="44">
        <v>1</v>
      </c>
      <c r="G71" s="44">
        <v>30</v>
      </c>
      <c r="J71" s="44">
        <f t="shared" si="11"/>
        <v>12000</v>
      </c>
      <c r="K71" s="47">
        <f t="shared" si="12"/>
        <v>300000</v>
      </c>
      <c r="L71" s="154">
        <f t="shared" si="13"/>
        <v>312000</v>
      </c>
      <c r="M71" s="154">
        <f t="shared" si="14"/>
        <v>249600</v>
      </c>
      <c r="N71" s="154">
        <f t="shared" si="15"/>
        <v>62400</v>
      </c>
    </row>
    <row r="72" spans="1:14" x14ac:dyDescent="0.45">
      <c r="B72" s="170" t="s">
        <v>134</v>
      </c>
      <c r="C72" s="155">
        <f t="shared" si="8"/>
        <v>1.45</v>
      </c>
      <c r="D72" s="45">
        <f t="shared" si="9"/>
        <v>7.25</v>
      </c>
      <c r="E72" s="60">
        <f t="shared" si="10"/>
        <v>29</v>
      </c>
      <c r="F72" s="44">
        <v>1</v>
      </c>
      <c r="G72" s="44">
        <v>28</v>
      </c>
      <c r="J72" s="44">
        <f t="shared" si="11"/>
        <v>12000</v>
      </c>
      <c r="K72" s="47">
        <f t="shared" si="12"/>
        <v>280000</v>
      </c>
      <c r="L72" s="154">
        <f t="shared" si="13"/>
        <v>292000</v>
      </c>
      <c r="M72" s="154">
        <f t="shared" si="14"/>
        <v>233600</v>
      </c>
      <c r="N72" s="154">
        <f t="shared" si="15"/>
        <v>58400</v>
      </c>
    </row>
    <row r="73" spans="1:14" x14ac:dyDescent="0.45">
      <c r="B73" s="170" t="s">
        <v>214</v>
      </c>
      <c r="C73" s="155">
        <f t="shared" si="8"/>
        <v>1.3</v>
      </c>
      <c r="D73" s="45">
        <f t="shared" si="9"/>
        <v>6.5</v>
      </c>
      <c r="E73" s="60">
        <f t="shared" si="10"/>
        <v>26</v>
      </c>
      <c r="F73" s="44">
        <v>1</v>
      </c>
      <c r="G73" s="44">
        <v>25</v>
      </c>
      <c r="J73" s="44">
        <f t="shared" si="11"/>
        <v>12000</v>
      </c>
      <c r="K73" s="47">
        <f t="shared" si="12"/>
        <v>250000</v>
      </c>
      <c r="L73" s="154">
        <f t="shared" si="13"/>
        <v>262000</v>
      </c>
      <c r="M73" s="154">
        <f t="shared" si="14"/>
        <v>209600</v>
      </c>
      <c r="N73" s="154">
        <f t="shared" si="15"/>
        <v>52400</v>
      </c>
    </row>
    <row r="74" spans="1:14" x14ac:dyDescent="0.45">
      <c r="B74" s="170" t="s">
        <v>126</v>
      </c>
      <c r="C74" s="155">
        <f t="shared" si="8"/>
        <v>2.0499999999999998</v>
      </c>
      <c r="D74" s="45">
        <f t="shared" si="9"/>
        <v>10.25</v>
      </c>
      <c r="E74" s="60">
        <f t="shared" si="10"/>
        <v>41</v>
      </c>
      <c r="F74" s="44">
        <v>6</v>
      </c>
      <c r="G74" s="44">
        <v>35</v>
      </c>
      <c r="J74" s="44">
        <f t="shared" si="11"/>
        <v>72000</v>
      </c>
      <c r="K74" s="47">
        <f t="shared" si="12"/>
        <v>350000</v>
      </c>
      <c r="L74" s="154">
        <f t="shared" si="13"/>
        <v>422000</v>
      </c>
      <c r="M74" s="154">
        <f t="shared" si="14"/>
        <v>337600</v>
      </c>
      <c r="N74" s="154">
        <f t="shared" si="15"/>
        <v>84400</v>
      </c>
    </row>
    <row r="75" spans="1:14" x14ac:dyDescent="0.45">
      <c r="C75"/>
      <c r="J75" s="168"/>
      <c r="K75" s="168"/>
      <c r="L75" s="168"/>
      <c r="M75" s="168"/>
      <c r="N75" s="168"/>
    </row>
    <row r="76" spans="1:14" x14ac:dyDescent="0.45">
      <c r="B76" s="166"/>
      <c r="C76" s="208" t="s">
        <v>212</v>
      </c>
      <c r="D76" s="209"/>
      <c r="E76" s="209"/>
      <c r="F76" s="209"/>
      <c r="G76" s="209"/>
      <c r="J76" s="44"/>
      <c r="K76" s="47"/>
      <c r="L76" s="154"/>
      <c r="M76" s="154"/>
      <c r="N76" s="154"/>
    </row>
    <row r="77" spans="1:14" x14ac:dyDescent="0.45">
      <c r="B77" s="166"/>
      <c r="C77" s="155" t="s">
        <v>211</v>
      </c>
      <c r="D77" s="97" t="s">
        <v>210</v>
      </c>
      <c r="E77" s="97" t="s">
        <v>209</v>
      </c>
      <c r="F77" s="33" t="s">
        <v>71</v>
      </c>
      <c r="G77" s="33" t="s">
        <v>72</v>
      </c>
      <c r="J77" s="44"/>
      <c r="K77" s="47"/>
      <c r="L77" s="154"/>
      <c r="M77" s="154"/>
      <c r="N77" s="154"/>
    </row>
    <row r="78" spans="1:14" x14ac:dyDescent="0.45">
      <c r="A78" s="38" t="s">
        <v>87</v>
      </c>
      <c r="B78" s="38" t="s">
        <v>87</v>
      </c>
      <c r="C78" s="155">
        <f>D78/5</f>
        <v>5</v>
      </c>
      <c r="D78" s="164">
        <f>E78/4</f>
        <v>25</v>
      </c>
      <c r="E78" s="163">
        <f>SUM(F78:G78)</f>
        <v>100</v>
      </c>
      <c r="F78" s="162">
        <v>40</v>
      </c>
      <c r="G78" s="162">
        <v>60</v>
      </c>
      <c r="J78" s="161">
        <f>12000*F78</f>
        <v>480000</v>
      </c>
      <c r="K78" s="161">
        <f>10000*G78</f>
        <v>600000</v>
      </c>
      <c r="L78" s="160">
        <f>SUM(J78:K78)</f>
        <v>1080000</v>
      </c>
      <c r="M78" s="159">
        <f>L78*0.8</f>
        <v>864000</v>
      </c>
      <c r="N78" s="158">
        <f>L78*0.2</f>
        <v>216000</v>
      </c>
    </row>
    <row r="79" spans="1:14" x14ac:dyDescent="0.45">
      <c r="A79" s="167"/>
      <c r="B79" s="170" t="s">
        <v>150</v>
      </c>
      <c r="C79" s="155">
        <f>D79/5</f>
        <v>2.5</v>
      </c>
      <c r="D79" s="106">
        <f>E79/4</f>
        <v>12.5</v>
      </c>
      <c r="E79" s="46">
        <f>SUM(F79:G79)</f>
        <v>50</v>
      </c>
      <c r="F79" s="169">
        <v>20</v>
      </c>
      <c r="G79" s="169">
        <v>30</v>
      </c>
      <c r="J79" s="47">
        <f>12000*F79</f>
        <v>240000</v>
      </c>
      <c r="K79" s="47">
        <f>10000*G79</f>
        <v>300000</v>
      </c>
      <c r="L79" s="154">
        <f>SUM(J79:K79)</f>
        <v>540000</v>
      </c>
      <c r="M79" s="153">
        <f>L79*0.8</f>
        <v>432000</v>
      </c>
      <c r="N79" s="57">
        <f>L79*0.2</f>
        <v>108000</v>
      </c>
    </row>
    <row r="80" spans="1:14" x14ac:dyDescent="0.45">
      <c r="A80" s="167"/>
      <c r="B80" s="170" t="s">
        <v>213</v>
      </c>
      <c r="C80" s="155">
        <f>D80/5</f>
        <v>2.5</v>
      </c>
      <c r="D80" s="106">
        <f>E80/4</f>
        <v>12.5</v>
      </c>
      <c r="E80" s="46">
        <f>SUM(F80:G80)</f>
        <v>50</v>
      </c>
      <c r="F80" s="169">
        <v>20</v>
      </c>
      <c r="G80" s="169">
        <v>30</v>
      </c>
      <c r="J80" s="47">
        <f>12000*F80</f>
        <v>240000</v>
      </c>
      <c r="K80" s="47">
        <f>10000*G80</f>
        <v>300000</v>
      </c>
      <c r="L80" s="154">
        <f>SUM(J80:K80)</f>
        <v>540000</v>
      </c>
      <c r="M80" s="153">
        <f>L80*0.8</f>
        <v>432000</v>
      </c>
      <c r="N80" s="57">
        <f>L80*0.2</f>
        <v>108000</v>
      </c>
    </row>
    <row r="81" spans="1:14" x14ac:dyDescent="0.45">
      <c r="C81"/>
      <c r="J81" s="168"/>
      <c r="K81" s="168"/>
      <c r="L81" s="168"/>
      <c r="M81" s="168"/>
      <c r="N81" s="168"/>
    </row>
    <row r="82" spans="1:14" x14ac:dyDescent="0.45">
      <c r="A82" s="167"/>
      <c r="B82" s="166"/>
      <c r="C82" s="208" t="s">
        <v>212</v>
      </c>
      <c r="D82" s="209"/>
      <c r="E82" s="209"/>
      <c r="F82" s="209"/>
      <c r="G82" s="209"/>
      <c r="J82" s="47"/>
      <c r="K82" s="47"/>
      <c r="L82" s="154"/>
      <c r="M82" s="153"/>
      <c r="N82" s="57"/>
    </row>
    <row r="83" spans="1:14" x14ac:dyDescent="0.45">
      <c r="A83" s="167"/>
      <c r="B83" s="166"/>
      <c r="C83" s="155" t="s">
        <v>211</v>
      </c>
      <c r="D83" s="97" t="s">
        <v>210</v>
      </c>
      <c r="E83" s="97" t="s">
        <v>209</v>
      </c>
      <c r="F83" s="33" t="s">
        <v>71</v>
      </c>
      <c r="G83" s="33" t="s">
        <v>72</v>
      </c>
      <c r="J83" s="47"/>
      <c r="K83" s="47"/>
      <c r="L83" s="154"/>
      <c r="M83" s="153"/>
      <c r="N83" s="57"/>
    </row>
    <row r="84" spans="1:14" x14ac:dyDescent="0.45">
      <c r="A84" s="165" t="s">
        <v>89</v>
      </c>
      <c r="B84" s="165" t="s">
        <v>89</v>
      </c>
      <c r="C84" s="155">
        <f>SUM(C85:C87)</f>
        <v>5</v>
      </c>
      <c r="D84" s="164">
        <f>E84/4</f>
        <v>25</v>
      </c>
      <c r="E84" s="163">
        <f>SUM(F84:G84)</f>
        <v>100</v>
      </c>
      <c r="F84" s="162">
        <v>40</v>
      </c>
      <c r="G84" s="162">
        <v>60</v>
      </c>
      <c r="J84" s="161">
        <f>12000*F84</f>
        <v>480000</v>
      </c>
      <c r="K84" s="161">
        <f>10000*G84</f>
        <v>600000</v>
      </c>
      <c r="L84" s="160">
        <f>SUM(J84:K84)</f>
        <v>1080000</v>
      </c>
      <c r="M84" s="159">
        <f>L84*0.8</f>
        <v>864000</v>
      </c>
      <c r="N84" s="158">
        <f>L84*0.2</f>
        <v>216000</v>
      </c>
    </row>
    <row r="85" spans="1:14" x14ac:dyDescent="0.45">
      <c r="B85" s="156" t="s">
        <v>208</v>
      </c>
      <c r="C85" s="155">
        <f>D85/5</f>
        <v>1.5</v>
      </c>
      <c r="D85" s="106">
        <f>E85/4</f>
        <v>7.5</v>
      </c>
      <c r="E85" s="46">
        <f>SUM(F85:G85)</f>
        <v>30</v>
      </c>
      <c r="F85" s="44">
        <v>10</v>
      </c>
      <c r="G85" s="44">
        <v>20</v>
      </c>
      <c r="J85" s="47">
        <f>12000*F85</f>
        <v>120000</v>
      </c>
      <c r="K85" s="47">
        <f>10000*G85</f>
        <v>200000</v>
      </c>
      <c r="L85" s="154">
        <f>SUM(J85:K85)</f>
        <v>320000</v>
      </c>
      <c r="M85" s="153">
        <f>L85*0.8</f>
        <v>256000</v>
      </c>
      <c r="N85" s="57">
        <f>L85*0.2</f>
        <v>64000</v>
      </c>
    </row>
    <row r="86" spans="1:14" x14ac:dyDescent="0.45">
      <c r="B86" s="156" t="s">
        <v>207</v>
      </c>
      <c r="C86" s="155">
        <f>D86/5</f>
        <v>2</v>
      </c>
      <c r="D86" s="106">
        <f>E86/4</f>
        <v>10</v>
      </c>
      <c r="E86" s="46">
        <f>SUM(F86:G86)</f>
        <v>40</v>
      </c>
      <c r="F86" s="44">
        <v>20</v>
      </c>
      <c r="G86" s="44">
        <v>20</v>
      </c>
      <c r="J86" s="47">
        <f>12000*F86</f>
        <v>240000</v>
      </c>
      <c r="K86" s="47">
        <f>10000*G86</f>
        <v>200000</v>
      </c>
      <c r="L86" s="154">
        <f>SUM(J86:K86)</f>
        <v>440000</v>
      </c>
      <c r="M86" s="153">
        <f>L86*0.8</f>
        <v>352000</v>
      </c>
      <c r="N86" s="57">
        <f>L86*0.2</f>
        <v>88000</v>
      </c>
    </row>
    <row r="87" spans="1:14" x14ac:dyDescent="0.45">
      <c r="A87" s="157"/>
      <c r="B87" s="156" t="s">
        <v>206</v>
      </c>
      <c r="C87" s="155">
        <f>D87/5</f>
        <v>1.5</v>
      </c>
      <c r="D87" s="106">
        <f>E87/4</f>
        <v>7.5</v>
      </c>
      <c r="E87" s="46">
        <f>SUM(F87:G87)</f>
        <v>30</v>
      </c>
      <c r="F87" s="44">
        <v>10</v>
      </c>
      <c r="G87" s="44">
        <v>20</v>
      </c>
      <c r="J87" s="47">
        <f>12000*F87</f>
        <v>120000</v>
      </c>
      <c r="K87" s="47">
        <f>10000*G87</f>
        <v>200000</v>
      </c>
      <c r="L87" s="154">
        <f>SUM(J87:K87)</f>
        <v>320000</v>
      </c>
      <c r="M87" s="153">
        <f>L87*0.8</f>
        <v>256000</v>
      </c>
      <c r="N87" s="57">
        <f>L87*0.2</f>
        <v>64000</v>
      </c>
    </row>
  </sheetData>
  <mergeCells count="11">
    <mergeCell ref="C45:G45"/>
    <mergeCell ref="C1:G1"/>
    <mergeCell ref="C6:G6"/>
    <mergeCell ref="C23:G23"/>
    <mergeCell ref="C30:G30"/>
    <mergeCell ref="C38:G38"/>
    <mergeCell ref="C51:G51"/>
    <mergeCell ref="C59:G59"/>
    <mergeCell ref="C67:G67"/>
    <mergeCell ref="C76:G76"/>
    <mergeCell ref="C82:G8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B8AF-660E-4946-B065-BAA9589E41B1}">
  <dimension ref="A1:L58"/>
  <sheetViews>
    <sheetView zoomScale="80" zoomScaleNormal="80" workbookViewId="0">
      <pane ySplit="1" topLeftCell="A2" activePane="bottomLeft" state="frozen"/>
      <selection activeCell="O25" sqref="O25"/>
      <selection pane="bottomLeft" activeCell="O25" sqref="O25"/>
    </sheetView>
  </sheetViews>
  <sheetFormatPr defaultColWidth="10.6640625" defaultRowHeight="14.25" x14ac:dyDescent="0.45"/>
  <cols>
    <col min="1" max="1" width="21.86328125" customWidth="1"/>
    <col min="2" max="2" width="23.86328125" bestFit="1" customWidth="1"/>
    <col min="3" max="3" width="21" bestFit="1" customWidth="1"/>
    <col min="4" max="4" width="5.53125" bestFit="1" customWidth="1"/>
    <col min="5" max="5" width="6" bestFit="1" customWidth="1"/>
    <col min="6" max="6" width="7.6640625" bestFit="1" customWidth="1"/>
    <col min="7" max="7" width="11.1328125" bestFit="1" customWidth="1"/>
    <col min="8" max="8" width="10" bestFit="1" customWidth="1"/>
    <col min="9" max="9" width="10.796875" bestFit="1" customWidth="1"/>
    <col min="10" max="10" width="12.86328125" bestFit="1" customWidth="1"/>
    <col min="11" max="11" width="22.6640625" bestFit="1" customWidth="1"/>
    <col min="12" max="12" width="13" bestFit="1" customWidth="1"/>
  </cols>
  <sheetData>
    <row r="1" spans="1:12" x14ac:dyDescent="0.45">
      <c r="A1" s="25" t="s">
        <v>65</v>
      </c>
      <c r="B1" s="25" t="s">
        <v>66</v>
      </c>
      <c r="C1" s="25" t="s">
        <v>67</v>
      </c>
      <c r="D1" s="26" t="s">
        <v>68</v>
      </c>
      <c r="E1" s="26"/>
      <c r="F1" s="27" t="s">
        <v>66</v>
      </c>
      <c r="G1" s="26"/>
      <c r="H1" s="28" t="s">
        <v>69</v>
      </c>
      <c r="I1" s="29"/>
      <c r="J1" s="30"/>
      <c r="K1" s="31" t="s">
        <v>70</v>
      </c>
      <c r="L1" s="31"/>
    </row>
    <row r="2" spans="1:12" x14ac:dyDescent="0.45">
      <c r="A2" s="32"/>
      <c r="B2" s="25"/>
      <c r="C2" s="25"/>
      <c r="D2" s="33" t="s">
        <v>71</v>
      </c>
      <c r="E2" s="33" t="s">
        <v>72</v>
      </c>
      <c r="F2" s="34" t="s">
        <v>73</v>
      </c>
      <c r="G2" s="34" t="s">
        <v>74</v>
      </c>
      <c r="H2" s="35" t="s">
        <v>71</v>
      </c>
      <c r="I2" s="35" t="s">
        <v>72</v>
      </c>
      <c r="J2" s="36" t="s">
        <v>21</v>
      </c>
      <c r="K2" s="37" t="s">
        <v>75</v>
      </c>
      <c r="L2" s="37" t="s">
        <v>76</v>
      </c>
    </row>
    <row r="3" spans="1:12" x14ac:dyDescent="0.45">
      <c r="A3" s="38" t="s">
        <v>77</v>
      </c>
      <c r="B3" s="39"/>
      <c r="C3" s="163">
        <f>SUM(C4,C18,C22,C27,C31,C34)</f>
        <v>49</v>
      </c>
      <c r="D3" s="163">
        <f>SUM(D4,D18,D22,D27,D31,D34)</f>
        <v>130</v>
      </c>
      <c r="E3" s="163">
        <f>SUM(E4,E18,E22,E27,E31,E34)</f>
        <v>850</v>
      </c>
      <c r="F3" s="163">
        <f t="shared" ref="F3:F16" si="0">SUM(D3:E3)</f>
        <v>980</v>
      </c>
      <c r="G3" s="163">
        <f>SUM(G4:G34)</f>
        <v>457.5</v>
      </c>
      <c r="H3" s="204">
        <f>SUM(H4,H18,H22,H27,H31,H34)</f>
        <v>1560000</v>
      </c>
      <c r="I3" s="204">
        <f>SUM(I4,I18,I22,I27,I31,I34)</f>
        <v>8500000</v>
      </c>
      <c r="J3" s="204">
        <f>SUM(J4,J18,J22,J27,J31,J34)</f>
        <v>10060000</v>
      </c>
      <c r="K3" s="204">
        <f>SUM(K4,K18,K22,K27,K31,K34)</f>
        <v>8048000</v>
      </c>
      <c r="L3" s="204">
        <f>SUM(L4,L18,L22,L27,L31,L34)</f>
        <v>2012000</v>
      </c>
    </row>
    <row r="4" spans="1:12" x14ac:dyDescent="0.45">
      <c r="A4" s="43"/>
      <c r="B4" s="203" t="s">
        <v>78</v>
      </c>
      <c r="C4" s="207">
        <f t="shared" ref="C4:C16" si="1">G4/5</f>
        <v>17</v>
      </c>
      <c r="D4" s="178">
        <f>SUM(D5:D16)</f>
        <v>50</v>
      </c>
      <c r="E4" s="178">
        <f>SUM(E5:E16)</f>
        <v>290</v>
      </c>
      <c r="F4" s="179">
        <f t="shared" si="0"/>
        <v>340</v>
      </c>
      <c r="G4" s="178">
        <f t="shared" ref="G4:G16" si="2">F4/4</f>
        <v>85</v>
      </c>
      <c r="H4" s="177">
        <f t="shared" ref="H4:H16" si="3">12000*D4</f>
        <v>600000</v>
      </c>
      <c r="I4" s="177">
        <f t="shared" ref="I4:I16" si="4">10000*E4</f>
        <v>2900000</v>
      </c>
      <c r="J4" s="200">
        <f t="shared" ref="J4:J16" si="5">SUM(H4:I4)</f>
        <v>3500000</v>
      </c>
      <c r="K4" s="176">
        <f t="shared" ref="K4:K16" si="6">J4*0.8</f>
        <v>2800000</v>
      </c>
      <c r="L4" s="176">
        <f t="shared" ref="L4:L16" si="7">J4*0.2</f>
        <v>700000</v>
      </c>
    </row>
    <row r="5" spans="1:12" x14ac:dyDescent="0.45">
      <c r="B5" s="170" t="s">
        <v>121</v>
      </c>
      <c r="C5" s="106">
        <f t="shared" si="1"/>
        <v>2.2000000000000002</v>
      </c>
      <c r="D5" s="60">
        <v>14</v>
      </c>
      <c r="E5" s="60">
        <v>30</v>
      </c>
      <c r="F5" s="60">
        <f t="shared" si="0"/>
        <v>44</v>
      </c>
      <c r="G5" s="45">
        <f t="shared" si="2"/>
        <v>11</v>
      </c>
      <c r="H5" s="47">
        <f t="shared" si="3"/>
        <v>168000</v>
      </c>
      <c r="I5" s="47">
        <f t="shared" si="4"/>
        <v>300000</v>
      </c>
      <c r="J5" s="175">
        <f t="shared" si="5"/>
        <v>468000</v>
      </c>
      <c r="K5" s="154">
        <f t="shared" si="6"/>
        <v>374400</v>
      </c>
      <c r="L5" s="154">
        <f t="shared" si="7"/>
        <v>93600</v>
      </c>
    </row>
    <row r="6" spans="1:12" x14ac:dyDescent="0.45">
      <c r="B6" s="170" t="s">
        <v>122</v>
      </c>
      <c r="C6" s="106">
        <f t="shared" si="1"/>
        <v>1.75</v>
      </c>
      <c r="D6" s="60">
        <v>5</v>
      </c>
      <c r="E6" s="60">
        <v>30</v>
      </c>
      <c r="F6" s="60">
        <f t="shared" si="0"/>
        <v>35</v>
      </c>
      <c r="G6" s="45">
        <f t="shared" si="2"/>
        <v>8.75</v>
      </c>
      <c r="H6" s="47">
        <f t="shared" si="3"/>
        <v>60000</v>
      </c>
      <c r="I6" s="47">
        <f t="shared" si="4"/>
        <v>300000</v>
      </c>
      <c r="J6" s="175">
        <f t="shared" si="5"/>
        <v>360000</v>
      </c>
      <c r="K6" s="154">
        <f t="shared" si="6"/>
        <v>288000</v>
      </c>
      <c r="L6" s="154">
        <f t="shared" si="7"/>
        <v>72000</v>
      </c>
    </row>
    <row r="7" spans="1:12" x14ac:dyDescent="0.45">
      <c r="B7" s="170" t="s">
        <v>123</v>
      </c>
      <c r="C7" s="106">
        <f t="shared" si="1"/>
        <v>1.7</v>
      </c>
      <c r="D7" s="60">
        <v>4</v>
      </c>
      <c r="E7" s="60">
        <v>30</v>
      </c>
      <c r="F7" s="60">
        <f t="shared" si="0"/>
        <v>34</v>
      </c>
      <c r="G7" s="45">
        <f t="shared" si="2"/>
        <v>8.5</v>
      </c>
      <c r="H7" s="47">
        <f t="shared" si="3"/>
        <v>48000</v>
      </c>
      <c r="I7" s="47">
        <f t="shared" si="4"/>
        <v>300000</v>
      </c>
      <c r="J7" s="175">
        <f t="shared" si="5"/>
        <v>348000</v>
      </c>
      <c r="K7" s="154">
        <f t="shared" si="6"/>
        <v>278400</v>
      </c>
      <c r="L7" s="154">
        <f t="shared" si="7"/>
        <v>69600</v>
      </c>
    </row>
    <row r="8" spans="1:12" x14ac:dyDescent="0.45">
      <c r="B8" s="170" t="s">
        <v>135</v>
      </c>
      <c r="C8" s="106">
        <f t="shared" si="1"/>
        <v>1.4</v>
      </c>
      <c r="D8" s="60">
        <v>3</v>
      </c>
      <c r="E8" s="60">
        <v>25</v>
      </c>
      <c r="F8" s="60">
        <f t="shared" si="0"/>
        <v>28</v>
      </c>
      <c r="G8" s="45">
        <f t="shared" si="2"/>
        <v>7</v>
      </c>
      <c r="H8" s="47">
        <f t="shared" si="3"/>
        <v>36000</v>
      </c>
      <c r="I8" s="47">
        <f t="shared" si="4"/>
        <v>250000</v>
      </c>
      <c r="J8" s="175">
        <f t="shared" si="5"/>
        <v>286000</v>
      </c>
      <c r="K8" s="154">
        <f t="shared" si="6"/>
        <v>228800</v>
      </c>
      <c r="L8" s="154">
        <f t="shared" si="7"/>
        <v>57200</v>
      </c>
    </row>
    <row r="9" spans="1:12" x14ac:dyDescent="0.45">
      <c r="B9" s="170" t="s">
        <v>130</v>
      </c>
      <c r="C9" s="106">
        <f t="shared" si="1"/>
        <v>1.8</v>
      </c>
      <c r="D9" s="60">
        <v>6</v>
      </c>
      <c r="E9" s="60">
        <v>30</v>
      </c>
      <c r="F9" s="60">
        <f t="shared" si="0"/>
        <v>36</v>
      </c>
      <c r="G9" s="45">
        <f t="shared" si="2"/>
        <v>9</v>
      </c>
      <c r="H9" s="47">
        <f t="shared" si="3"/>
        <v>72000</v>
      </c>
      <c r="I9" s="47">
        <f t="shared" si="4"/>
        <v>300000</v>
      </c>
      <c r="J9" s="175">
        <f t="shared" si="5"/>
        <v>372000</v>
      </c>
      <c r="K9" s="154">
        <f t="shared" si="6"/>
        <v>297600</v>
      </c>
      <c r="L9" s="154">
        <f t="shared" si="7"/>
        <v>74400</v>
      </c>
    </row>
    <row r="10" spans="1:12" x14ac:dyDescent="0.45">
      <c r="B10" s="170" t="s">
        <v>138</v>
      </c>
      <c r="C10" s="106">
        <f t="shared" si="1"/>
        <v>1.5</v>
      </c>
      <c r="D10" s="60">
        <v>5</v>
      </c>
      <c r="E10" s="60">
        <v>25</v>
      </c>
      <c r="F10" s="60">
        <f t="shared" si="0"/>
        <v>30</v>
      </c>
      <c r="G10" s="45">
        <f t="shared" si="2"/>
        <v>7.5</v>
      </c>
      <c r="H10" s="47">
        <f t="shared" si="3"/>
        <v>60000</v>
      </c>
      <c r="I10" s="47">
        <f t="shared" si="4"/>
        <v>250000</v>
      </c>
      <c r="J10" s="175">
        <f t="shared" si="5"/>
        <v>310000</v>
      </c>
      <c r="K10" s="154">
        <f t="shared" si="6"/>
        <v>248000</v>
      </c>
      <c r="L10" s="154">
        <f t="shared" si="7"/>
        <v>62000</v>
      </c>
    </row>
    <row r="11" spans="1:12" x14ac:dyDescent="0.45">
      <c r="B11" s="170" t="s">
        <v>140</v>
      </c>
      <c r="C11" s="106">
        <f t="shared" si="1"/>
        <v>1.25</v>
      </c>
      <c r="D11" s="60">
        <v>5</v>
      </c>
      <c r="E11" s="60">
        <v>20</v>
      </c>
      <c r="F11" s="60">
        <f t="shared" si="0"/>
        <v>25</v>
      </c>
      <c r="G11" s="45">
        <f t="shared" si="2"/>
        <v>6.25</v>
      </c>
      <c r="H11" s="47">
        <f t="shared" si="3"/>
        <v>60000</v>
      </c>
      <c r="I11" s="47">
        <f t="shared" si="4"/>
        <v>200000</v>
      </c>
      <c r="J11" s="175">
        <f t="shared" si="5"/>
        <v>260000</v>
      </c>
      <c r="K11" s="154">
        <f t="shared" si="6"/>
        <v>208000</v>
      </c>
      <c r="L11" s="154">
        <f t="shared" si="7"/>
        <v>52000</v>
      </c>
    </row>
    <row r="12" spans="1:12" x14ac:dyDescent="0.45">
      <c r="B12" s="170" t="s">
        <v>141</v>
      </c>
      <c r="C12" s="106">
        <f t="shared" si="1"/>
        <v>1.1499999999999999</v>
      </c>
      <c r="D12" s="60">
        <v>3</v>
      </c>
      <c r="E12" s="60">
        <v>20</v>
      </c>
      <c r="F12" s="60">
        <f t="shared" si="0"/>
        <v>23</v>
      </c>
      <c r="G12" s="45">
        <f t="shared" si="2"/>
        <v>5.75</v>
      </c>
      <c r="H12" s="47">
        <f t="shared" si="3"/>
        <v>36000</v>
      </c>
      <c r="I12" s="47">
        <f t="shared" si="4"/>
        <v>200000</v>
      </c>
      <c r="J12" s="175">
        <f t="shared" si="5"/>
        <v>236000</v>
      </c>
      <c r="K12" s="154">
        <f t="shared" si="6"/>
        <v>188800</v>
      </c>
      <c r="L12" s="154">
        <f t="shared" si="7"/>
        <v>47200</v>
      </c>
    </row>
    <row r="13" spans="1:12" x14ac:dyDescent="0.45">
      <c r="B13" s="170" t="s">
        <v>142</v>
      </c>
      <c r="C13" s="106">
        <f t="shared" si="1"/>
        <v>2</v>
      </c>
      <c r="D13" s="60">
        <v>5</v>
      </c>
      <c r="E13" s="60">
        <v>35</v>
      </c>
      <c r="F13" s="60">
        <f t="shared" si="0"/>
        <v>40</v>
      </c>
      <c r="G13" s="45">
        <f t="shared" si="2"/>
        <v>10</v>
      </c>
      <c r="H13" s="47">
        <f t="shared" si="3"/>
        <v>60000</v>
      </c>
      <c r="I13" s="47">
        <f t="shared" si="4"/>
        <v>350000</v>
      </c>
      <c r="J13" s="175">
        <f t="shared" si="5"/>
        <v>410000</v>
      </c>
      <c r="K13" s="154">
        <f t="shared" si="6"/>
        <v>328000</v>
      </c>
      <c r="L13" s="154">
        <f t="shared" si="7"/>
        <v>82000</v>
      </c>
    </row>
    <row r="14" spans="1:12" x14ac:dyDescent="0.45">
      <c r="B14" s="170" t="s">
        <v>144</v>
      </c>
      <c r="C14" s="106">
        <f t="shared" si="1"/>
        <v>1</v>
      </c>
      <c r="D14" s="60">
        <v>0</v>
      </c>
      <c r="E14" s="60">
        <v>20</v>
      </c>
      <c r="F14" s="60">
        <f t="shared" si="0"/>
        <v>20</v>
      </c>
      <c r="G14" s="45">
        <f t="shared" si="2"/>
        <v>5</v>
      </c>
      <c r="H14" s="47">
        <f t="shared" si="3"/>
        <v>0</v>
      </c>
      <c r="I14" s="47">
        <f t="shared" si="4"/>
        <v>200000</v>
      </c>
      <c r="J14" s="175">
        <f t="shared" si="5"/>
        <v>200000</v>
      </c>
      <c r="K14" s="154">
        <f t="shared" si="6"/>
        <v>160000</v>
      </c>
      <c r="L14" s="154">
        <f t="shared" si="7"/>
        <v>40000</v>
      </c>
    </row>
    <row r="15" spans="1:12" x14ac:dyDescent="0.45">
      <c r="B15" s="170" t="s">
        <v>149</v>
      </c>
      <c r="C15" s="106">
        <f t="shared" si="1"/>
        <v>0.75</v>
      </c>
      <c r="D15" s="60">
        <v>0</v>
      </c>
      <c r="E15" s="60">
        <v>15</v>
      </c>
      <c r="F15" s="60">
        <f t="shared" si="0"/>
        <v>15</v>
      </c>
      <c r="G15" s="45">
        <f t="shared" si="2"/>
        <v>3.75</v>
      </c>
      <c r="H15" s="47">
        <f t="shared" si="3"/>
        <v>0</v>
      </c>
      <c r="I15" s="47">
        <f t="shared" si="4"/>
        <v>150000</v>
      </c>
      <c r="J15" s="175">
        <f t="shared" si="5"/>
        <v>150000</v>
      </c>
      <c r="K15" s="154">
        <f t="shared" si="6"/>
        <v>120000</v>
      </c>
      <c r="L15" s="154">
        <f t="shared" si="7"/>
        <v>30000</v>
      </c>
    </row>
    <row r="16" spans="1:12" x14ac:dyDescent="0.45">
      <c r="B16" s="170" t="s">
        <v>152</v>
      </c>
      <c r="C16" s="106">
        <f t="shared" si="1"/>
        <v>0.5</v>
      </c>
      <c r="D16" s="60">
        <v>0</v>
      </c>
      <c r="E16" s="60">
        <v>10</v>
      </c>
      <c r="F16" s="60">
        <f t="shared" si="0"/>
        <v>10</v>
      </c>
      <c r="G16" s="45">
        <f t="shared" si="2"/>
        <v>2.5</v>
      </c>
      <c r="H16" s="47">
        <f t="shared" si="3"/>
        <v>0</v>
      </c>
      <c r="I16" s="47">
        <f t="shared" si="4"/>
        <v>100000</v>
      </c>
      <c r="J16" s="175">
        <f t="shared" si="5"/>
        <v>100000</v>
      </c>
      <c r="K16" s="154">
        <f t="shared" si="6"/>
        <v>80000</v>
      </c>
      <c r="L16" s="154">
        <f t="shared" si="7"/>
        <v>20000</v>
      </c>
    </row>
    <row r="17" spans="1:12" x14ac:dyDescent="0.45">
      <c r="B17" s="199" t="s">
        <v>151</v>
      </c>
      <c r="C17" s="168"/>
      <c r="D17" s="168"/>
      <c r="E17" s="168"/>
      <c r="F17" s="168"/>
      <c r="G17" s="168"/>
      <c r="H17" s="168"/>
      <c r="I17" s="168"/>
      <c r="J17" s="168"/>
      <c r="K17" s="168"/>
      <c r="L17" s="168"/>
    </row>
    <row r="18" spans="1:12" x14ac:dyDescent="0.45">
      <c r="A18" s="43"/>
      <c r="B18" s="180" t="s">
        <v>79</v>
      </c>
      <c r="C18" s="178">
        <f>SUM(C19:C21)</f>
        <v>5</v>
      </c>
      <c r="D18" s="178">
        <f>SUM(D19:D21)</f>
        <v>30</v>
      </c>
      <c r="E18" s="178">
        <f>SUM(E19:E21)</f>
        <v>70</v>
      </c>
      <c r="F18" s="179">
        <f t="shared" ref="F18:F29" si="8">SUM(D18:E18)</f>
        <v>100</v>
      </c>
      <c r="G18" s="178">
        <f t="shared" ref="G18:G29" si="9">F18/4</f>
        <v>25</v>
      </c>
      <c r="H18" s="177">
        <f t="shared" ref="H18:H29" si="10">12000*D18</f>
        <v>360000</v>
      </c>
      <c r="I18" s="177">
        <f t="shared" ref="I18:I29" si="11">10000*E18</f>
        <v>700000</v>
      </c>
      <c r="J18" s="176">
        <f t="shared" ref="J18:J29" si="12">SUM(H18:I18)</f>
        <v>1060000</v>
      </c>
      <c r="K18" s="176">
        <f t="shared" ref="K18:K29" si="13">J18*0.8</f>
        <v>848000</v>
      </c>
      <c r="L18" s="176">
        <f t="shared" ref="L18:L29" si="14">J18*0.2</f>
        <v>212000</v>
      </c>
    </row>
    <row r="19" spans="1:12" x14ac:dyDescent="0.45">
      <c r="A19" s="43"/>
      <c r="B19" s="170" t="s">
        <v>120</v>
      </c>
      <c r="C19" s="106">
        <f>G19/5</f>
        <v>2.65</v>
      </c>
      <c r="D19" s="45">
        <v>24</v>
      </c>
      <c r="E19" s="45">
        <v>29</v>
      </c>
      <c r="F19" s="60">
        <f t="shared" si="8"/>
        <v>53</v>
      </c>
      <c r="G19" s="45">
        <f t="shared" si="9"/>
        <v>13.25</v>
      </c>
      <c r="H19" s="47">
        <f t="shared" si="10"/>
        <v>288000</v>
      </c>
      <c r="I19" s="47">
        <f t="shared" si="11"/>
        <v>290000</v>
      </c>
      <c r="J19" s="175">
        <f t="shared" si="12"/>
        <v>578000</v>
      </c>
      <c r="K19" s="154">
        <f t="shared" si="13"/>
        <v>462400</v>
      </c>
      <c r="L19" s="154">
        <f t="shared" si="14"/>
        <v>115600</v>
      </c>
    </row>
    <row r="20" spans="1:12" x14ac:dyDescent="0.45">
      <c r="A20" s="43"/>
      <c r="B20" s="170" t="s">
        <v>147</v>
      </c>
      <c r="C20" s="106">
        <f>G20/5</f>
        <v>1.45</v>
      </c>
      <c r="D20" s="45">
        <v>4</v>
      </c>
      <c r="E20" s="45">
        <v>25</v>
      </c>
      <c r="F20" s="60">
        <f t="shared" si="8"/>
        <v>29</v>
      </c>
      <c r="G20" s="45">
        <f t="shared" si="9"/>
        <v>7.25</v>
      </c>
      <c r="H20" s="47">
        <f t="shared" si="10"/>
        <v>48000</v>
      </c>
      <c r="I20" s="47">
        <f t="shared" si="11"/>
        <v>250000</v>
      </c>
      <c r="J20" s="175">
        <f t="shared" si="12"/>
        <v>298000</v>
      </c>
      <c r="K20" s="154">
        <f t="shared" si="13"/>
        <v>238400</v>
      </c>
      <c r="L20" s="154">
        <f t="shared" si="14"/>
        <v>59600</v>
      </c>
    </row>
    <row r="21" spans="1:12" x14ac:dyDescent="0.45">
      <c r="A21" s="43"/>
      <c r="B21" s="170" t="s">
        <v>148</v>
      </c>
      <c r="C21" s="106">
        <f>G21/5</f>
        <v>0.9</v>
      </c>
      <c r="D21" s="45">
        <v>2</v>
      </c>
      <c r="E21" s="45">
        <v>16</v>
      </c>
      <c r="F21" s="60">
        <f t="shared" si="8"/>
        <v>18</v>
      </c>
      <c r="G21" s="45">
        <f t="shared" si="9"/>
        <v>4.5</v>
      </c>
      <c r="H21" s="47">
        <f t="shared" si="10"/>
        <v>24000</v>
      </c>
      <c r="I21" s="47">
        <f t="shared" si="11"/>
        <v>160000</v>
      </c>
      <c r="J21" s="175">
        <f t="shared" si="12"/>
        <v>184000</v>
      </c>
      <c r="K21" s="154">
        <f t="shared" si="13"/>
        <v>147200</v>
      </c>
      <c r="L21" s="154">
        <f t="shared" si="14"/>
        <v>36800</v>
      </c>
    </row>
    <row r="22" spans="1:12" x14ac:dyDescent="0.45">
      <c r="A22" s="43"/>
      <c r="B22" s="195" t="s">
        <v>80</v>
      </c>
      <c r="C22" s="193">
        <f>SUM(C23:C26)</f>
        <v>10.499999999999998</v>
      </c>
      <c r="D22" s="193">
        <f>SUM(D23:D26)</f>
        <v>10</v>
      </c>
      <c r="E22" s="193">
        <f>SUM(E23:E26)</f>
        <v>200</v>
      </c>
      <c r="F22" s="194">
        <f t="shared" si="8"/>
        <v>210</v>
      </c>
      <c r="G22" s="193">
        <f t="shared" si="9"/>
        <v>52.5</v>
      </c>
      <c r="H22" s="192">
        <f t="shared" si="10"/>
        <v>120000</v>
      </c>
      <c r="I22" s="192">
        <f t="shared" si="11"/>
        <v>2000000</v>
      </c>
      <c r="J22" s="191">
        <f t="shared" si="12"/>
        <v>2120000</v>
      </c>
      <c r="K22" s="191">
        <f t="shared" si="13"/>
        <v>1696000</v>
      </c>
      <c r="L22" s="191">
        <f t="shared" si="14"/>
        <v>424000</v>
      </c>
    </row>
    <row r="23" spans="1:12" x14ac:dyDescent="0.45">
      <c r="A23" s="43"/>
      <c r="B23" s="170" t="s">
        <v>119</v>
      </c>
      <c r="C23" s="106">
        <f t="shared" ref="C23:C29" si="15">G23/5</f>
        <v>3.1</v>
      </c>
      <c r="D23" s="190"/>
      <c r="E23" s="190">
        <v>62</v>
      </c>
      <c r="F23" s="60">
        <f t="shared" si="8"/>
        <v>62</v>
      </c>
      <c r="G23" s="45">
        <f t="shared" si="9"/>
        <v>15.5</v>
      </c>
      <c r="H23" s="47">
        <f t="shared" si="10"/>
        <v>0</v>
      </c>
      <c r="I23" s="189">
        <f t="shared" si="11"/>
        <v>620000</v>
      </c>
      <c r="J23" s="175">
        <f t="shared" si="12"/>
        <v>620000</v>
      </c>
      <c r="K23" s="154">
        <f t="shared" si="13"/>
        <v>496000</v>
      </c>
      <c r="L23" s="154">
        <f t="shared" si="14"/>
        <v>124000</v>
      </c>
    </row>
    <row r="24" spans="1:12" x14ac:dyDescent="0.45">
      <c r="A24" s="43"/>
      <c r="B24" s="170" t="s">
        <v>125</v>
      </c>
      <c r="C24" s="106">
        <f t="shared" si="15"/>
        <v>2.5</v>
      </c>
      <c r="D24" s="190">
        <v>2</v>
      </c>
      <c r="E24" s="190">
        <v>48</v>
      </c>
      <c r="F24" s="60">
        <f t="shared" si="8"/>
        <v>50</v>
      </c>
      <c r="G24" s="45">
        <f t="shared" si="9"/>
        <v>12.5</v>
      </c>
      <c r="H24" s="47">
        <f t="shared" si="10"/>
        <v>24000</v>
      </c>
      <c r="I24" s="189">
        <f t="shared" si="11"/>
        <v>480000</v>
      </c>
      <c r="J24" s="175">
        <f t="shared" si="12"/>
        <v>504000</v>
      </c>
      <c r="K24" s="154">
        <f t="shared" si="13"/>
        <v>403200</v>
      </c>
      <c r="L24" s="154">
        <f t="shared" si="14"/>
        <v>100800</v>
      </c>
    </row>
    <row r="25" spans="1:12" x14ac:dyDescent="0.45">
      <c r="A25" s="43"/>
      <c r="B25" s="170" t="s">
        <v>129</v>
      </c>
      <c r="C25" s="106">
        <f t="shared" si="15"/>
        <v>2.5499999999999998</v>
      </c>
      <c r="D25" s="190">
        <v>5</v>
      </c>
      <c r="E25" s="190">
        <v>46</v>
      </c>
      <c r="F25" s="60">
        <f t="shared" si="8"/>
        <v>51</v>
      </c>
      <c r="G25" s="45">
        <f t="shared" si="9"/>
        <v>12.75</v>
      </c>
      <c r="H25" s="47">
        <f t="shared" si="10"/>
        <v>60000</v>
      </c>
      <c r="I25" s="189">
        <f t="shared" si="11"/>
        <v>460000</v>
      </c>
      <c r="J25" s="175">
        <f t="shared" si="12"/>
        <v>520000</v>
      </c>
      <c r="K25" s="154">
        <f t="shared" si="13"/>
        <v>416000</v>
      </c>
      <c r="L25" s="154">
        <f t="shared" si="14"/>
        <v>104000</v>
      </c>
    </row>
    <row r="26" spans="1:12" x14ac:dyDescent="0.45">
      <c r="A26" s="43"/>
      <c r="B26" s="170" t="s">
        <v>127</v>
      </c>
      <c r="C26" s="106">
        <f t="shared" si="15"/>
        <v>2.35</v>
      </c>
      <c r="D26" s="188">
        <v>3</v>
      </c>
      <c r="E26" s="188">
        <v>44</v>
      </c>
      <c r="F26" s="60">
        <f t="shared" si="8"/>
        <v>47</v>
      </c>
      <c r="G26" s="45">
        <f t="shared" si="9"/>
        <v>11.75</v>
      </c>
      <c r="H26" s="47">
        <f t="shared" si="10"/>
        <v>36000</v>
      </c>
      <c r="I26" s="187">
        <f t="shared" si="11"/>
        <v>440000</v>
      </c>
      <c r="J26" s="175">
        <f t="shared" si="12"/>
        <v>476000</v>
      </c>
      <c r="K26" s="154">
        <f t="shared" si="13"/>
        <v>380800</v>
      </c>
      <c r="L26" s="154">
        <f t="shared" si="14"/>
        <v>95200</v>
      </c>
    </row>
    <row r="27" spans="1:12" x14ac:dyDescent="0.45">
      <c r="A27" s="43"/>
      <c r="B27" s="180" t="s">
        <v>81</v>
      </c>
      <c r="C27" s="178">
        <f t="shared" si="15"/>
        <v>6</v>
      </c>
      <c r="D27" s="178">
        <f>SUM(D28:D29)</f>
        <v>20</v>
      </c>
      <c r="E27" s="178">
        <f>SUM(E28:E29)</f>
        <v>100</v>
      </c>
      <c r="F27" s="179">
        <f t="shared" si="8"/>
        <v>120</v>
      </c>
      <c r="G27" s="178">
        <f t="shared" si="9"/>
        <v>30</v>
      </c>
      <c r="H27" s="177">
        <f t="shared" si="10"/>
        <v>240000</v>
      </c>
      <c r="I27" s="177">
        <f t="shared" si="11"/>
        <v>1000000</v>
      </c>
      <c r="J27" s="176">
        <f t="shared" si="12"/>
        <v>1240000</v>
      </c>
      <c r="K27" s="176">
        <f t="shared" si="13"/>
        <v>992000</v>
      </c>
      <c r="L27" s="176">
        <f t="shared" si="14"/>
        <v>248000</v>
      </c>
    </row>
    <row r="28" spans="1:12" x14ac:dyDescent="0.45">
      <c r="A28" s="43"/>
      <c r="B28" s="170" t="s">
        <v>124</v>
      </c>
      <c r="C28" s="106">
        <f t="shared" si="15"/>
        <v>3</v>
      </c>
      <c r="D28" s="45">
        <v>10</v>
      </c>
      <c r="E28" s="45">
        <v>50</v>
      </c>
      <c r="F28" s="60">
        <f t="shared" si="8"/>
        <v>60</v>
      </c>
      <c r="G28" s="45">
        <f t="shared" si="9"/>
        <v>15</v>
      </c>
      <c r="H28" s="47">
        <f t="shared" si="10"/>
        <v>120000</v>
      </c>
      <c r="I28" s="47">
        <f t="shared" si="11"/>
        <v>500000</v>
      </c>
      <c r="J28" s="175">
        <f t="shared" si="12"/>
        <v>620000</v>
      </c>
      <c r="K28" s="154">
        <f t="shared" si="13"/>
        <v>496000</v>
      </c>
      <c r="L28" s="154">
        <f t="shared" si="14"/>
        <v>124000</v>
      </c>
    </row>
    <row r="29" spans="1:12" x14ac:dyDescent="0.45">
      <c r="A29" s="43"/>
      <c r="B29" s="170" t="s">
        <v>146</v>
      </c>
      <c r="C29" s="106">
        <f t="shared" si="15"/>
        <v>3</v>
      </c>
      <c r="D29" s="45">
        <v>10</v>
      </c>
      <c r="E29" s="45">
        <v>50</v>
      </c>
      <c r="F29" s="60">
        <f t="shared" si="8"/>
        <v>60</v>
      </c>
      <c r="G29" s="45">
        <f t="shared" si="9"/>
        <v>15</v>
      </c>
      <c r="H29" s="47">
        <f t="shared" si="10"/>
        <v>120000</v>
      </c>
      <c r="I29" s="47">
        <f t="shared" si="11"/>
        <v>500000</v>
      </c>
      <c r="J29" s="175">
        <f t="shared" si="12"/>
        <v>620000</v>
      </c>
      <c r="K29" s="154">
        <f t="shared" si="13"/>
        <v>496000</v>
      </c>
      <c r="L29" s="154">
        <f t="shared" si="14"/>
        <v>124000</v>
      </c>
    </row>
    <row r="30" spans="1:12" ht="18" customHeight="1" x14ac:dyDescent="0.45">
      <c r="A30" s="43"/>
      <c r="B30" s="186" t="s">
        <v>153</v>
      </c>
      <c r="C30" s="183"/>
      <c r="D30" s="183"/>
      <c r="E30" s="183"/>
      <c r="F30" s="184"/>
      <c r="G30" s="183"/>
      <c r="H30" s="182"/>
      <c r="I30" s="182"/>
      <c r="J30" s="181"/>
      <c r="K30" s="181"/>
      <c r="L30" s="181"/>
    </row>
    <row r="31" spans="1:12" x14ac:dyDescent="0.45">
      <c r="A31" s="43"/>
      <c r="B31" s="180" t="s">
        <v>82</v>
      </c>
      <c r="C31" s="178">
        <f>G31/5</f>
        <v>4</v>
      </c>
      <c r="D31" s="178">
        <f>SUM(D32:D33)</f>
        <v>10</v>
      </c>
      <c r="E31" s="178">
        <f>SUM(E32:E33)</f>
        <v>70</v>
      </c>
      <c r="F31" s="179">
        <f t="shared" ref="F31:F56" si="16">SUM(D31:E31)</f>
        <v>80</v>
      </c>
      <c r="G31" s="178">
        <f t="shared" ref="G31:G56" si="17">F31/4</f>
        <v>20</v>
      </c>
      <c r="H31" s="177">
        <f t="shared" ref="H31:H56" si="18">12000*D31</f>
        <v>120000</v>
      </c>
      <c r="I31" s="177">
        <f t="shared" ref="I31:I56" si="19">10000*E31</f>
        <v>700000</v>
      </c>
      <c r="J31" s="176">
        <f t="shared" ref="J31:J56" si="20">SUM(H31:I31)</f>
        <v>820000</v>
      </c>
      <c r="K31" s="176">
        <f t="shared" ref="K31:K38" si="21">J31*0.8</f>
        <v>656000</v>
      </c>
      <c r="L31" s="176">
        <f t="shared" ref="L31:L38" si="22">J31*0.2</f>
        <v>164000</v>
      </c>
    </row>
    <row r="32" spans="1:12" x14ac:dyDescent="0.45">
      <c r="A32" s="43"/>
      <c r="B32" s="170" t="s">
        <v>145</v>
      </c>
      <c r="C32" s="106">
        <f>G32/5</f>
        <v>2.25</v>
      </c>
      <c r="D32" s="45">
        <v>5</v>
      </c>
      <c r="E32" s="45">
        <v>40</v>
      </c>
      <c r="F32" s="60">
        <f t="shared" si="16"/>
        <v>45</v>
      </c>
      <c r="G32" s="45">
        <f t="shared" si="17"/>
        <v>11.25</v>
      </c>
      <c r="H32" s="47">
        <f t="shared" si="18"/>
        <v>60000</v>
      </c>
      <c r="I32" s="47">
        <f t="shared" si="19"/>
        <v>400000</v>
      </c>
      <c r="J32" s="175">
        <f t="shared" si="20"/>
        <v>460000</v>
      </c>
      <c r="K32" s="154">
        <f t="shared" si="21"/>
        <v>368000</v>
      </c>
      <c r="L32" s="154">
        <f t="shared" si="22"/>
        <v>92000</v>
      </c>
    </row>
    <row r="33" spans="1:12" x14ac:dyDescent="0.45">
      <c r="A33" s="43"/>
      <c r="B33" s="170" t="s">
        <v>217</v>
      </c>
      <c r="C33" s="106">
        <f>G33/5</f>
        <v>1.75</v>
      </c>
      <c r="D33" s="45">
        <v>5</v>
      </c>
      <c r="E33" s="45">
        <v>30</v>
      </c>
      <c r="F33" s="60">
        <f t="shared" si="16"/>
        <v>35</v>
      </c>
      <c r="G33" s="45">
        <f t="shared" si="17"/>
        <v>8.75</v>
      </c>
      <c r="H33" s="47">
        <f t="shared" si="18"/>
        <v>60000</v>
      </c>
      <c r="I33" s="47">
        <f t="shared" si="19"/>
        <v>300000</v>
      </c>
      <c r="J33" s="175">
        <f t="shared" si="20"/>
        <v>360000</v>
      </c>
      <c r="K33" s="154">
        <f t="shared" si="21"/>
        <v>288000</v>
      </c>
      <c r="L33" s="154">
        <f t="shared" si="22"/>
        <v>72000</v>
      </c>
    </row>
    <row r="34" spans="1:12" x14ac:dyDescent="0.45">
      <c r="A34" s="43"/>
      <c r="B34" s="180" t="s">
        <v>83</v>
      </c>
      <c r="C34" s="178">
        <f>SUM(C35:C38)</f>
        <v>6.5</v>
      </c>
      <c r="D34" s="178">
        <f>SUM(D35:D38)</f>
        <v>10</v>
      </c>
      <c r="E34" s="178">
        <f>SUM(E35:E38)</f>
        <v>120</v>
      </c>
      <c r="F34" s="179">
        <f t="shared" si="16"/>
        <v>130</v>
      </c>
      <c r="G34" s="178">
        <f t="shared" si="17"/>
        <v>32.5</v>
      </c>
      <c r="H34" s="177">
        <f t="shared" si="18"/>
        <v>120000</v>
      </c>
      <c r="I34" s="177">
        <f t="shared" si="19"/>
        <v>1200000</v>
      </c>
      <c r="J34" s="176">
        <f t="shared" si="20"/>
        <v>1320000</v>
      </c>
      <c r="K34" s="176">
        <f t="shared" si="21"/>
        <v>1056000</v>
      </c>
      <c r="L34" s="176">
        <f t="shared" si="22"/>
        <v>264000</v>
      </c>
    </row>
    <row r="35" spans="1:12" x14ac:dyDescent="0.45">
      <c r="A35" s="43"/>
      <c r="B35" s="170" t="s">
        <v>131</v>
      </c>
      <c r="C35" s="106">
        <f>G35/5</f>
        <v>1.55</v>
      </c>
      <c r="D35" s="45">
        <v>1</v>
      </c>
      <c r="E35" s="45">
        <v>30</v>
      </c>
      <c r="F35" s="45">
        <f t="shared" si="16"/>
        <v>31</v>
      </c>
      <c r="G35" s="45">
        <f t="shared" si="17"/>
        <v>7.75</v>
      </c>
      <c r="H35" s="47">
        <f t="shared" si="18"/>
        <v>12000</v>
      </c>
      <c r="I35" s="47">
        <f t="shared" si="19"/>
        <v>300000</v>
      </c>
      <c r="J35" s="175">
        <f t="shared" si="20"/>
        <v>312000</v>
      </c>
      <c r="K35" s="154">
        <f t="shared" si="21"/>
        <v>249600</v>
      </c>
      <c r="L35" s="154">
        <f t="shared" si="22"/>
        <v>62400</v>
      </c>
    </row>
    <row r="36" spans="1:12" x14ac:dyDescent="0.45">
      <c r="A36" s="43"/>
      <c r="B36" s="170" t="s">
        <v>133</v>
      </c>
      <c r="C36" s="106">
        <f>G36/5</f>
        <v>2.25</v>
      </c>
      <c r="D36" s="45">
        <v>5</v>
      </c>
      <c r="E36" s="45">
        <v>40</v>
      </c>
      <c r="F36" s="60">
        <f t="shared" si="16"/>
        <v>45</v>
      </c>
      <c r="G36" s="45">
        <f t="shared" si="17"/>
        <v>11.25</v>
      </c>
      <c r="H36" s="47">
        <f t="shared" si="18"/>
        <v>60000</v>
      </c>
      <c r="I36" s="47">
        <f t="shared" si="19"/>
        <v>400000</v>
      </c>
      <c r="J36" s="175">
        <f t="shared" si="20"/>
        <v>460000</v>
      </c>
      <c r="K36" s="154">
        <f t="shared" si="21"/>
        <v>368000</v>
      </c>
      <c r="L36" s="154">
        <f t="shared" si="22"/>
        <v>92000</v>
      </c>
    </row>
    <row r="37" spans="1:12" x14ac:dyDescent="0.45">
      <c r="A37" s="43"/>
      <c r="B37" s="170" t="s">
        <v>139</v>
      </c>
      <c r="C37" s="106">
        <f>G37/5</f>
        <v>1.6</v>
      </c>
      <c r="D37" s="45">
        <v>2</v>
      </c>
      <c r="E37" s="45">
        <v>30</v>
      </c>
      <c r="F37" s="60">
        <f t="shared" si="16"/>
        <v>32</v>
      </c>
      <c r="G37" s="45">
        <f t="shared" si="17"/>
        <v>8</v>
      </c>
      <c r="H37" s="47">
        <f t="shared" si="18"/>
        <v>24000</v>
      </c>
      <c r="I37" s="47">
        <f t="shared" si="19"/>
        <v>300000</v>
      </c>
      <c r="J37" s="175">
        <f t="shared" si="20"/>
        <v>324000</v>
      </c>
      <c r="K37" s="154">
        <f t="shared" si="21"/>
        <v>259200</v>
      </c>
      <c r="L37" s="154">
        <f t="shared" si="22"/>
        <v>64800</v>
      </c>
    </row>
    <row r="38" spans="1:12" x14ac:dyDescent="0.45">
      <c r="A38" s="43"/>
      <c r="B38" s="170" t="s">
        <v>132</v>
      </c>
      <c r="C38" s="106">
        <f>G38/5</f>
        <v>1.1000000000000001</v>
      </c>
      <c r="D38" s="45">
        <v>2</v>
      </c>
      <c r="E38" s="45">
        <v>20</v>
      </c>
      <c r="F38" s="60">
        <f t="shared" si="16"/>
        <v>22</v>
      </c>
      <c r="G38" s="45">
        <f t="shared" si="17"/>
        <v>5.5</v>
      </c>
      <c r="H38" s="47">
        <f t="shared" si="18"/>
        <v>24000</v>
      </c>
      <c r="I38" s="47">
        <f t="shared" si="19"/>
        <v>200000</v>
      </c>
      <c r="J38" s="175">
        <f t="shared" si="20"/>
        <v>224000</v>
      </c>
      <c r="K38" s="154">
        <f t="shared" si="21"/>
        <v>179200</v>
      </c>
      <c r="L38" s="154">
        <f t="shared" si="22"/>
        <v>44800</v>
      </c>
    </row>
    <row r="39" spans="1:12" x14ac:dyDescent="0.45">
      <c r="A39" s="165" t="s">
        <v>84</v>
      </c>
      <c r="B39" s="172" t="s">
        <v>84</v>
      </c>
      <c r="C39" s="206">
        <f>SUM(C40:C43)</f>
        <v>7</v>
      </c>
      <c r="D39" s="163">
        <f>SUM(D40:D43)</f>
        <v>20</v>
      </c>
      <c r="E39" s="163">
        <f>SUM(E40:E43)</f>
        <v>120</v>
      </c>
      <c r="F39" s="163">
        <f t="shared" si="16"/>
        <v>140</v>
      </c>
      <c r="G39" s="164">
        <f t="shared" si="17"/>
        <v>35</v>
      </c>
      <c r="H39" s="161">
        <f t="shared" si="18"/>
        <v>240000</v>
      </c>
      <c r="I39" s="161">
        <f t="shared" si="19"/>
        <v>1200000</v>
      </c>
      <c r="J39" s="160">
        <f t="shared" si="20"/>
        <v>1440000</v>
      </c>
      <c r="K39" s="159">
        <f>J39*1</f>
        <v>1440000</v>
      </c>
      <c r="L39" s="159">
        <f>J39*0</f>
        <v>0</v>
      </c>
    </row>
    <row r="40" spans="1:12" x14ac:dyDescent="0.45">
      <c r="A40" s="167"/>
      <c r="B40" s="174" t="s">
        <v>137</v>
      </c>
      <c r="C40" s="106">
        <f t="shared" ref="C40:C52" si="23">G40/5</f>
        <v>1.75</v>
      </c>
      <c r="D40" s="46">
        <v>5</v>
      </c>
      <c r="E40" s="46">
        <v>30</v>
      </c>
      <c r="F40" s="60">
        <f t="shared" si="16"/>
        <v>35</v>
      </c>
      <c r="G40" s="45">
        <f t="shared" si="17"/>
        <v>8.75</v>
      </c>
      <c r="H40" s="47">
        <f t="shared" si="18"/>
        <v>60000</v>
      </c>
      <c r="I40" s="47">
        <f t="shared" si="19"/>
        <v>300000</v>
      </c>
      <c r="J40" s="154">
        <f t="shared" si="20"/>
        <v>360000</v>
      </c>
      <c r="K40" s="153">
        <f>J40*1</f>
        <v>360000</v>
      </c>
      <c r="L40" s="153">
        <f>J40*0</f>
        <v>0</v>
      </c>
    </row>
    <row r="41" spans="1:12" x14ac:dyDescent="0.45">
      <c r="A41" s="167"/>
      <c r="B41" s="174" t="s">
        <v>136</v>
      </c>
      <c r="C41" s="106">
        <f t="shared" si="23"/>
        <v>1.75</v>
      </c>
      <c r="D41" s="46">
        <v>5</v>
      </c>
      <c r="E41" s="46">
        <v>30</v>
      </c>
      <c r="F41" s="60">
        <f t="shared" si="16"/>
        <v>35</v>
      </c>
      <c r="G41" s="45">
        <f t="shared" si="17"/>
        <v>8.75</v>
      </c>
      <c r="H41" s="47">
        <f t="shared" si="18"/>
        <v>60000</v>
      </c>
      <c r="I41" s="47">
        <f t="shared" si="19"/>
        <v>300000</v>
      </c>
      <c r="J41" s="154">
        <f t="shared" si="20"/>
        <v>360000</v>
      </c>
      <c r="K41" s="153">
        <f>J41*1</f>
        <v>360000</v>
      </c>
      <c r="L41" s="153"/>
    </row>
    <row r="42" spans="1:12" x14ac:dyDescent="0.45">
      <c r="A42" s="167"/>
      <c r="B42" s="174" t="s">
        <v>216</v>
      </c>
      <c r="C42" s="106">
        <f t="shared" si="23"/>
        <v>1.75</v>
      </c>
      <c r="D42" s="46">
        <v>5</v>
      </c>
      <c r="E42" s="46">
        <v>30</v>
      </c>
      <c r="F42" s="60">
        <f t="shared" si="16"/>
        <v>35</v>
      </c>
      <c r="G42" s="45">
        <f t="shared" si="17"/>
        <v>8.75</v>
      </c>
      <c r="H42" s="47">
        <f t="shared" si="18"/>
        <v>60000</v>
      </c>
      <c r="I42" s="47">
        <f t="shared" si="19"/>
        <v>300000</v>
      </c>
      <c r="J42" s="154">
        <f t="shared" si="20"/>
        <v>360000</v>
      </c>
      <c r="K42" s="153">
        <f>J42*1</f>
        <v>360000</v>
      </c>
      <c r="L42" s="153"/>
    </row>
    <row r="43" spans="1:12" x14ac:dyDescent="0.45">
      <c r="A43" s="167"/>
      <c r="B43" s="174" t="s">
        <v>215</v>
      </c>
      <c r="C43" s="106">
        <f t="shared" si="23"/>
        <v>1.75</v>
      </c>
      <c r="D43" s="46">
        <v>5</v>
      </c>
      <c r="E43" s="46">
        <v>30</v>
      </c>
      <c r="F43" s="60">
        <f t="shared" si="16"/>
        <v>35</v>
      </c>
      <c r="G43" s="45">
        <f t="shared" si="17"/>
        <v>8.75</v>
      </c>
      <c r="H43" s="47">
        <f t="shared" si="18"/>
        <v>60000</v>
      </c>
      <c r="I43" s="47">
        <f t="shared" si="19"/>
        <v>300000</v>
      </c>
      <c r="J43" s="154">
        <f t="shared" si="20"/>
        <v>360000</v>
      </c>
      <c r="K43" s="153">
        <f>J43*1</f>
        <v>360000</v>
      </c>
      <c r="L43" s="153"/>
    </row>
    <row r="44" spans="1:12" x14ac:dyDescent="0.45">
      <c r="A44" s="173" t="s">
        <v>85</v>
      </c>
      <c r="B44" s="172" t="s">
        <v>85</v>
      </c>
      <c r="C44" s="206">
        <f t="shared" si="23"/>
        <v>8.35</v>
      </c>
      <c r="D44" s="162">
        <f>SUM(D45:D49)</f>
        <v>10</v>
      </c>
      <c r="E44" s="162">
        <f>SUM(E45:E49)</f>
        <v>157</v>
      </c>
      <c r="F44" s="163">
        <f t="shared" si="16"/>
        <v>167</v>
      </c>
      <c r="G44" s="171">
        <f t="shared" si="17"/>
        <v>41.75</v>
      </c>
      <c r="H44" s="161">
        <f t="shared" si="18"/>
        <v>120000</v>
      </c>
      <c r="I44" s="161">
        <f t="shared" si="19"/>
        <v>1570000</v>
      </c>
      <c r="J44" s="160">
        <f t="shared" si="20"/>
        <v>1690000</v>
      </c>
      <c r="K44" s="159">
        <f t="shared" ref="K44:K56" si="24">J44*0.8</f>
        <v>1352000</v>
      </c>
      <c r="L44" s="158">
        <f t="shared" ref="L44:L56" si="25">J44*0.2</f>
        <v>338000</v>
      </c>
    </row>
    <row r="45" spans="1:12" x14ac:dyDescent="0.45">
      <c r="B45" s="170" t="s">
        <v>128</v>
      </c>
      <c r="C45" s="45">
        <f t="shared" si="23"/>
        <v>2</v>
      </c>
      <c r="D45" s="44">
        <v>1</v>
      </c>
      <c r="E45" s="44">
        <v>39</v>
      </c>
      <c r="F45" s="60">
        <f t="shared" si="16"/>
        <v>40</v>
      </c>
      <c r="G45" s="45">
        <f t="shared" si="17"/>
        <v>10</v>
      </c>
      <c r="H45" s="44">
        <f t="shared" si="18"/>
        <v>12000</v>
      </c>
      <c r="I45" s="47">
        <f t="shared" si="19"/>
        <v>390000</v>
      </c>
      <c r="J45" s="154">
        <f t="shared" si="20"/>
        <v>402000</v>
      </c>
      <c r="K45" s="154">
        <f t="shared" si="24"/>
        <v>321600</v>
      </c>
      <c r="L45" s="154">
        <f t="shared" si="25"/>
        <v>80400</v>
      </c>
    </row>
    <row r="46" spans="1:12" x14ac:dyDescent="0.45">
      <c r="B46" s="170" t="s">
        <v>143</v>
      </c>
      <c r="C46" s="45">
        <f t="shared" si="23"/>
        <v>1.55</v>
      </c>
      <c r="D46" s="44">
        <v>1</v>
      </c>
      <c r="E46" s="44">
        <v>30</v>
      </c>
      <c r="F46" s="60">
        <f t="shared" si="16"/>
        <v>31</v>
      </c>
      <c r="G46" s="45">
        <f t="shared" si="17"/>
        <v>7.75</v>
      </c>
      <c r="H46" s="44">
        <f t="shared" si="18"/>
        <v>12000</v>
      </c>
      <c r="I46" s="47">
        <f t="shared" si="19"/>
        <v>300000</v>
      </c>
      <c r="J46" s="154">
        <f t="shared" si="20"/>
        <v>312000</v>
      </c>
      <c r="K46" s="154">
        <f t="shared" si="24"/>
        <v>249600</v>
      </c>
      <c r="L46" s="154">
        <f t="shared" si="25"/>
        <v>62400</v>
      </c>
    </row>
    <row r="47" spans="1:12" x14ac:dyDescent="0.45">
      <c r="B47" s="170" t="s">
        <v>134</v>
      </c>
      <c r="C47" s="45">
        <f t="shared" si="23"/>
        <v>1.45</v>
      </c>
      <c r="D47" s="44">
        <v>1</v>
      </c>
      <c r="E47" s="44">
        <v>28</v>
      </c>
      <c r="F47" s="60">
        <f t="shared" si="16"/>
        <v>29</v>
      </c>
      <c r="G47" s="45">
        <f t="shared" si="17"/>
        <v>7.25</v>
      </c>
      <c r="H47" s="44">
        <f t="shared" si="18"/>
        <v>12000</v>
      </c>
      <c r="I47" s="47">
        <f t="shared" si="19"/>
        <v>280000</v>
      </c>
      <c r="J47" s="154">
        <f t="shared" si="20"/>
        <v>292000</v>
      </c>
      <c r="K47" s="154">
        <f t="shared" si="24"/>
        <v>233600</v>
      </c>
      <c r="L47" s="154">
        <f t="shared" si="25"/>
        <v>58400</v>
      </c>
    </row>
    <row r="48" spans="1:12" x14ac:dyDescent="0.45">
      <c r="B48" s="170" t="s">
        <v>214</v>
      </c>
      <c r="C48" s="45">
        <f t="shared" si="23"/>
        <v>1.3</v>
      </c>
      <c r="D48" s="44">
        <v>1</v>
      </c>
      <c r="E48" s="44">
        <v>25</v>
      </c>
      <c r="F48" s="60">
        <f t="shared" si="16"/>
        <v>26</v>
      </c>
      <c r="G48" s="45">
        <f t="shared" si="17"/>
        <v>6.5</v>
      </c>
      <c r="H48" s="44">
        <f t="shared" si="18"/>
        <v>12000</v>
      </c>
      <c r="I48" s="47">
        <f t="shared" si="19"/>
        <v>250000</v>
      </c>
      <c r="J48" s="154">
        <f t="shared" si="20"/>
        <v>262000</v>
      </c>
      <c r="K48" s="154">
        <f t="shared" si="24"/>
        <v>209600</v>
      </c>
      <c r="L48" s="154">
        <f t="shared" si="25"/>
        <v>52400</v>
      </c>
    </row>
    <row r="49" spans="1:12" x14ac:dyDescent="0.45">
      <c r="B49" s="170" t="s">
        <v>126</v>
      </c>
      <c r="C49" s="45">
        <f t="shared" si="23"/>
        <v>2.0499999999999998</v>
      </c>
      <c r="D49" s="44">
        <v>6</v>
      </c>
      <c r="E49" s="44">
        <v>35</v>
      </c>
      <c r="F49" s="60">
        <f t="shared" si="16"/>
        <v>41</v>
      </c>
      <c r="G49" s="45">
        <f t="shared" si="17"/>
        <v>10.25</v>
      </c>
      <c r="H49" s="44">
        <f t="shared" si="18"/>
        <v>72000</v>
      </c>
      <c r="I49" s="47">
        <f t="shared" si="19"/>
        <v>350000</v>
      </c>
      <c r="J49" s="154">
        <f t="shared" si="20"/>
        <v>422000</v>
      </c>
      <c r="K49" s="154">
        <f t="shared" si="24"/>
        <v>337600</v>
      </c>
      <c r="L49" s="154">
        <f t="shared" si="25"/>
        <v>84400</v>
      </c>
    </row>
    <row r="50" spans="1:12" x14ac:dyDescent="0.45">
      <c r="A50" s="38" t="s">
        <v>87</v>
      </c>
      <c r="B50" s="38" t="s">
        <v>87</v>
      </c>
      <c r="C50" s="206">
        <f t="shared" si="23"/>
        <v>5</v>
      </c>
      <c r="D50" s="162">
        <v>40</v>
      </c>
      <c r="E50" s="162">
        <v>60</v>
      </c>
      <c r="F50" s="163">
        <f t="shared" si="16"/>
        <v>100</v>
      </c>
      <c r="G50" s="164">
        <f t="shared" si="17"/>
        <v>25</v>
      </c>
      <c r="H50" s="161">
        <f t="shared" si="18"/>
        <v>480000</v>
      </c>
      <c r="I50" s="161">
        <f t="shared" si="19"/>
        <v>600000</v>
      </c>
      <c r="J50" s="160">
        <f t="shared" si="20"/>
        <v>1080000</v>
      </c>
      <c r="K50" s="159">
        <f t="shared" si="24"/>
        <v>864000</v>
      </c>
      <c r="L50" s="158">
        <f t="shared" si="25"/>
        <v>216000</v>
      </c>
    </row>
    <row r="51" spans="1:12" x14ac:dyDescent="0.45">
      <c r="A51" s="167"/>
      <c r="B51" s="170" t="s">
        <v>150</v>
      </c>
      <c r="C51" s="45">
        <f t="shared" si="23"/>
        <v>2.5</v>
      </c>
      <c r="D51" s="169">
        <v>20</v>
      </c>
      <c r="E51" s="169">
        <v>30</v>
      </c>
      <c r="F51" s="46">
        <f t="shared" si="16"/>
        <v>50</v>
      </c>
      <c r="G51" s="106">
        <f t="shared" si="17"/>
        <v>12.5</v>
      </c>
      <c r="H51" s="47">
        <f t="shared" si="18"/>
        <v>240000</v>
      </c>
      <c r="I51" s="47">
        <f t="shared" si="19"/>
        <v>300000</v>
      </c>
      <c r="J51" s="154">
        <f t="shared" si="20"/>
        <v>540000</v>
      </c>
      <c r="K51" s="153">
        <f t="shared" si="24"/>
        <v>432000</v>
      </c>
      <c r="L51" s="57">
        <f t="shared" si="25"/>
        <v>108000</v>
      </c>
    </row>
    <row r="52" spans="1:12" x14ac:dyDescent="0.45">
      <c r="A52" s="167"/>
      <c r="B52" s="170" t="s">
        <v>213</v>
      </c>
      <c r="C52" s="45">
        <f t="shared" si="23"/>
        <v>2.5</v>
      </c>
      <c r="D52" s="169">
        <v>20</v>
      </c>
      <c r="E52" s="169">
        <v>30</v>
      </c>
      <c r="F52" s="46">
        <f t="shared" si="16"/>
        <v>50</v>
      </c>
      <c r="G52" s="106">
        <f t="shared" si="17"/>
        <v>12.5</v>
      </c>
      <c r="H52" s="47">
        <f t="shared" si="18"/>
        <v>240000</v>
      </c>
      <c r="I52" s="47">
        <f t="shared" si="19"/>
        <v>300000</v>
      </c>
      <c r="J52" s="154">
        <f t="shared" si="20"/>
        <v>540000</v>
      </c>
      <c r="K52" s="153">
        <f t="shared" si="24"/>
        <v>432000</v>
      </c>
      <c r="L52" s="57">
        <f t="shared" si="25"/>
        <v>108000</v>
      </c>
    </row>
    <row r="53" spans="1:12" x14ac:dyDescent="0.45">
      <c r="A53" s="165" t="s">
        <v>89</v>
      </c>
      <c r="B53" s="165" t="s">
        <v>89</v>
      </c>
      <c r="C53" s="206">
        <f>SUM(C54:C56)</f>
        <v>5</v>
      </c>
      <c r="D53" s="162">
        <v>40</v>
      </c>
      <c r="E53" s="162">
        <v>60</v>
      </c>
      <c r="F53" s="163">
        <f t="shared" si="16"/>
        <v>100</v>
      </c>
      <c r="G53" s="164">
        <f t="shared" si="17"/>
        <v>25</v>
      </c>
      <c r="H53" s="161">
        <f t="shared" si="18"/>
        <v>480000</v>
      </c>
      <c r="I53" s="161">
        <f t="shared" si="19"/>
        <v>600000</v>
      </c>
      <c r="J53" s="160">
        <f t="shared" si="20"/>
        <v>1080000</v>
      </c>
      <c r="K53" s="159">
        <f t="shared" si="24"/>
        <v>864000</v>
      </c>
      <c r="L53" s="158">
        <f t="shared" si="25"/>
        <v>216000</v>
      </c>
    </row>
    <row r="54" spans="1:12" x14ac:dyDescent="0.45">
      <c r="B54" s="156" t="s">
        <v>208</v>
      </c>
      <c r="C54" s="45">
        <f>G54/5</f>
        <v>1.5</v>
      </c>
      <c r="D54" s="44">
        <v>10</v>
      </c>
      <c r="E54" s="44">
        <v>20</v>
      </c>
      <c r="F54" s="46">
        <f t="shared" si="16"/>
        <v>30</v>
      </c>
      <c r="G54" s="106">
        <f t="shared" si="17"/>
        <v>7.5</v>
      </c>
      <c r="H54" s="47">
        <f t="shared" si="18"/>
        <v>120000</v>
      </c>
      <c r="I54" s="47">
        <f t="shared" si="19"/>
        <v>200000</v>
      </c>
      <c r="J54" s="154">
        <f t="shared" si="20"/>
        <v>320000</v>
      </c>
      <c r="K54" s="153">
        <f t="shared" si="24"/>
        <v>256000</v>
      </c>
      <c r="L54" s="57">
        <f t="shared" si="25"/>
        <v>64000</v>
      </c>
    </row>
    <row r="55" spans="1:12" x14ac:dyDescent="0.45">
      <c r="B55" s="156" t="s">
        <v>207</v>
      </c>
      <c r="C55" s="45">
        <f>G55/5</f>
        <v>2</v>
      </c>
      <c r="D55" s="44">
        <v>20</v>
      </c>
      <c r="E55" s="44">
        <v>20</v>
      </c>
      <c r="F55" s="46">
        <f t="shared" si="16"/>
        <v>40</v>
      </c>
      <c r="G55" s="106">
        <f t="shared" si="17"/>
        <v>10</v>
      </c>
      <c r="H55" s="47">
        <f t="shared" si="18"/>
        <v>240000</v>
      </c>
      <c r="I55" s="47">
        <f t="shared" si="19"/>
        <v>200000</v>
      </c>
      <c r="J55" s="154">
        <f t="shared" si="20"/>
        <v>440000</v>
      </c>
      <c r="K55" s="153">
        <f t="shared" si="24"/>
        <v>352000</v>
      </c>
      <c r="L55" s="57">
        <f t="shared" si="25"/>
        <v>88000</v>
      </c>
    </row>
    <row r="56" spans="1:12" x14ac:dyDescent="0.45">
      <c r="A56" s="157"/>
      <c r="B56" s="156" t="s">
        <v>206</v>
      </c>
      <c r="C56" s="45">
        <f>G56/5</f>
        <v>1.5</v>
      </c>
      <c r="D56" s="44">
        <v>10</v>
      </c>
      <c r="E56" s="44">
        <v>20</v>
      </c>
      <c r="F56" s="46">
        <f t="shared" si="16"/>
        <v>30</v>
      </c>
      <c r="G56" s="106">
        <f t="shared" si="17"/>
        <v>7.5</v>
      </c>
      <c r="H56" s="47">
        <f t="shared" si="18"/>
        <v>120000</v>
      </c>
      <c r="I56" s="47">
        <f t="shared" si="19"/>
        <v>200000</v>
      </c>
      <c r="J56" s="154">
        <f t="shared" si="20"/>
        <v>320000</v>
      </c>
      <c r="K56" s="153">
        <f t="shared" si="24"/>
        <v>256000</v>
      </c>
      <c r="L56" s="57">
        <f t="shared" si="25"/>
        <v>64000</v>
      </c>
    </row>
    <row r="58" spans="1:12" x14ac:dyDescent="0.45">
      <c r="A58" s="64" t="s">
        <v>91</v>
      </c>
      <c r="B58" s="64" t="s">
        <v>91</v>
      </c>
      <c r="C58" s="63">
        <f t="shared" ref="C58:L58" si="26">SUM(C3,C39,C44,C50,C53)</f>
        <v>74.349999999999994</v>
      </c>
      <c r="D58" s="63">
        <f t="shared" si="26"/>
        <v>240</v>
      </c>
      <c r="E58" s="63">
        <f t="shared" si="26"/>
        <v>1247</v>
      </c>
      <c r="F58" s="63">
        <f t="shared" si="26"/>
        <v>1487</v>
      </c>
      <c r="G58" s="63">
        <f t="shared" si="26"/>
        <v>584.25</v>
      </c>
      <c r="H58" s="63">
        <f t="shared" si="26"/>
        <v>2880000</v>
      </c>
      <c r="I58" s="63">
        <f t="shared" si="26"/>
        <v>12470000</v>
      </c>
      <c r="J58" s="63">
        <f t="shared" si="26"/>
        <v>15350000</v>
      </c>
      <c r="K58" s="63">
        <f t="shared" si="26"/>
        <v>12568000</v>
      </c>
      <c r="L58" s="63">
        <f t="shared" si="26"/>
        <v>2782000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4853-F7A9-4F3F-8E06-81215C1DBAA3}">
  <dimension ref="A1:AN30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X6" sqref="X6"/>
    </sheetView>
  </sheetViews>
  <sheetFormatPr defaultColWidth="8.86328125" defaultRowHeight="14.25" x14ac:dyDescent="0.45"/>
  <cols>
    <col min="1" max="1" width="22.19921875" bestFit="1" customWidth="1"/>
    <col min="2" max="2" width="5" hidden="1" customWidth="1"/>
    <col min="3" max="3" width="7.33203125" bestFit="1" customWidth="1"/>
    <col min="4" max="4" width="7" bestFit="1" customWidth="1"/>
    <col min="5" max="5" width="7.33203125" bestFit="1" customWidth="1"/>
    <col min="6" max="6" width="7" bestFit="1" customWidth="1"/>
    <col min="7" max="7" width="6.86328125" bestFit="1" customWidth="1"/>
    <col min="8" max="8" width="6.46484375" bestFit="1" customWidth="1"/>
    <col min="9" max="9" width="6.796875" style="2" bestFit="1" customWidth="1"/>
    <col min="10" max="10" width="6.86328125" style="1" bestFit="1" customWidth="1"/>
    <col min="11" max="11" width="8.19921875" style="1" bestFit="1" customWidth="1"/>
    <col min="12" max="12" width="5.6640625" style="1" bestFit="1" customWidth="1"/>
    <col min="13" max="13" width="6.1328125" style="1" bestFit="1" customWidth="1"/>
    <col min="14" max="14" width="6" style="1" bestFit="1" customWidth="1"/>
    <col min="15" max="15" width="8.19921875" style="1" bestFit="1" customWidth="1"/>
    <col min="16" max="17" width="6.6640625" style="1" bestFit="1" customWidth="1"/>
    <col min="18" max="18" width="7.33203125" style="1" bestFit="1" customWidth="1"/>
    <col min="19" max="19" width="5.86328125" style="1" bestFit="1" customWidth="1"/>
    <col min="20" max="20" width="6" style="1" bestFit="1" customWidth="1"/>
    <col min="21" max="21" width="6.19921875" style="1" bestFit="1" customWidth="1"/>
    <col min="22" max="22" width="8.19921875" bestFit="1" customWidth="1"/>
    <col min="23" max="23" width="7.33203125" bestFit="1" customWidth="1"/>
    <col min="24" max="24" width="7.1328125" bestFit="1" customWidth="1"/>
    <col min="25" max="25" width="6.1328125" bestFit="1" customWidth="1"/>
    <col min="26" max="26" width="7.6640625" bestFit="1" customWidth="1"/>
    <col min="27" max="27" width="6.6640625" bestFit="1" customWidth="1"/>
    <col min="28" max="28" width="7.46484375" bestFit="1" customWidth="1"/>
    <col min="29" max="29" width="9.1328125" bestFit="1" customWidth="1"/>
    <col min="30" max="30" width="8" bestFit="1" customWidth="1"/>
    <col min="31" max="31" width="7.6640625" bestFit="1" customWidth="1"/>
    <col min="32" max="32" width="9.19921875" bestFit="1" customWidth="1"/>
    <col min="33" max="33" width="9.46484375" bestFit="1" customWidth="1"/>
    <col min="34" max="35" width="8.46484375" bestFit="1" customWidth="1"/>
    <col min="36" max="36" width="8" bestFit="1" customWidth="1"/>
    <col min="37" max="37" width="11.6640625" bestFit="1" customWidth="1"/>
    <col min="38" max="38" width="9" bestFit="1" customWidth="1"/>
    <col min="39" max="39" width="11.1328125" bestFit="1" customWidth="1"/>
    <col min="40" max="40" width="11" bestFit="1" customWidth="1"/>
  </cols>
  <sheetData>
    <row r="1" spans="1:40" ht="15.75" x14ac:dyDescent="0.5">
      <c r="A1" s="3"/>
      <c r="B1" s="3"/>
      <c r="C1" s="4" t="s">
        <v>30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 t="s">
        <v>31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  <c r="AC1" s="9" t="s">
        <v>32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ht="15.75" x14ac:dyDescent="0.5">
      <c r="A2" s="11" t="s">
        <v>29</v>
      </c>
      <c r="B2" s="11" t="s">
        <v>61</v>
      </c>
      <c r="C2" s="12" t="s">
        <v>39</v>
      </c>
      <c r="D2" s="12" t="s">
        <v>41</v>
      </c>
      <c r="E2" s="12" t="s">
        <v>42</v>
      </c>
      <c r="F2" s="12" t="s">
        <v>43</v>
      </c>
      <c r="G2" s="12" t="s">
        <v>44</v>
      </c>
      <c r="H2" s="12" t="s">
        <v>45</v>
      </c>
      <c r="I2" s="12" t="s">
        <v>0</v>
      </c>
      <c r="J2" s="13" t="s">
        <v>1</v>
      </c>
      <c r="K2" s="13" t="s">
        <v>2</v>
      </c>
      <c r="L2" s="13" t="s">
        <v>3</v>
      </c>
      <c r="M2" s="13" t="s">
        <v>4</v>
      </c>
      <c r="N2" s="13" t="s">
        <v>33</v>
      </c>
      <c r="O2" s="13" t="s">
        <v>20</v>
      </c>
      <c r="P2" s="14" t="s">
        <v>51</v>
      </c>
      <c r="Q2" s="14" t="s">
        <v>50</v>
      </c>
      <c r="R2" s="14" t="s">
        <v>49</v>
      </c>
      <c r="S2" s="14" t="s">
        <v>48</v>
      </c>
      <c r="T2" s="14" t="s">
        <v>47</v>
      </c>
      <c r="U2" s="14" t="s">
        <v>46</v>
      </c>
      <c r="V2" s="14" t="s">
        <v>22</v>
      </c>
      <c r="W2" s="14" t="s">
        <v>23</v>
      </c>
      <c r="X2" s="14" t="s">
        <v>35</v>
      </c>
      <c r="Y2" s="14" t="s">
        <v>36</v>
      </c>
      <c r="Z2" s="14" t="s">
        <v>37</v>
      </c>
      <c r="AA2" s="14" t="s">
        <v>38</v>
      </c>
      <c r="AB2" s="14" t="s">
        <v>24</v>
      </c>
      <c r="AC2" s="11" t="s">
        <v>57</v>
      </c>
      <c r="AD2" s="11" t="s">
        <v>58</v>
      </c>
      <c r="AE2" s="11" t="s">
        <v>42</v>
      </c>
      <c r="AF2" s="11" t="s">
        <v>59</v>
      </c>
      <c r="AG2" s="11" t="s">
        <v>44</v>
      </c>
      <c r="AH2" s="11" t="s">
        <v>45</v>
      </c>
      <c r="AI2" s="11" t="s">
        <v>60</v>
      </c>
      <c r="AJ2" s="11" t="s">
        <v>25</v>
      </c>
      <c r="AK2" s="11" t="s">
        <v>26</v>
      </c>
      <c r="AL2" s="11" t="s">
        <v>27</v>
      </c>
      <c r="AM2" s="11" t="s">
        <v>28</v>
      </c>
      <c r="AN2" s="11" t="s">
        <v>34</v>
      </c>
    </row>
    <row r="3" spans="1:40" ht="15.75" x14ac:dyDescent="0.5">
      <c r="A3" s="15" t="s">
        <v>5</v>
      </c>
      <c r="B3" s="15">
        <f>_xlfn.XLOOKUP(A3,[1]Sheet2!$I:$I,[1]Sheet2!$L:$L,0,)</f>
        <v>0</v>
      </c>
      <c r="C3" s="16">
        <v>1991</v>
      </c>
      <c r="D3" s="16">
        <v>1864</v>
      </c>
      <c r="E3" s="16">
        <v>1303</v>
      </c>
      <c r="F3" s="16">
        <v>846</v>
      </c>
      <c r="G3" s="16">
        <v>648</v>
      </c>
      <c r="H3" s="16">
        <v>690</v>
      </c>
      <c r="I3" s="16">
        <v>880</v>
      </c>
      <c r="J3" s="17">
        <v>1365</v>
      </c>
      <c r="K3" s="17">
        <v>2038</v>
      </c>
      <c r="L3" s="17"/>
      <c r="M3" s="17"/>
      <c r="N3" s="17"/>
      <c r="O3" s="17">
        <f>SUM(C3:N3)</f>
        <v>11625</v>
      </c>
      <c r="P3" s="18">
        <f t="shared" ref="P3:AA3" si="0">IFERROR(C3/C$27,"-")</f>
        <v>0.26589209401709402</v>
      </c>
      <c r="Q3" s="18">
        <f t="shared" si="0"/>
        <v>0.26198172874209419</v>
      </c>
      <c r="R3" s="18">
        <f t="shared" si="0"/>
        <v>0.27225240284162139</v>
      </c>
      <c r="S3" s="18">
        <f t="shared" si="0"/>
        <v>0.31602540156892045</v>
      </c>
      <c r="T3" s="18">
        <f t="shared" si="0"/>
        <v>0.28496042216358841</v>
      </c>
      <c r="U3" s="18">
        <f t="shared" si="0"/>
        <v>0.29040404040404039</v>
      </c>
      <c r="V3" s="18">
        <f t="shared" si="0"/>
        <v>0.23510553032327011</v>
      </c>
      <c r="W3" s="18">
        <f t="shared" si="0"/>
        <v>0.21202236719478099</v>
      </c>
      <c r="X3" s="18">
        <f t="shared" si="0"/>
        <v>0.1885640266469282</v>
      </c>
      <c r="Y3" s="18" t="str">
        <f t="shared" si="0"/>
        <v>-</v>
      </c>
      <c r="Z3" s="18" t="str">
        <f t="shared" si="0"/>
        <v>-</v>
      </c>
      <c r="AA3" s="18" t="str">
        <f t="shared" si="0"/>
        <v>-</v>
      </c>
      <c r="AB3" s="19">
        <f>O3/O$27</f>
        <v>0.24432021184926755</v>
      </c>
      <c r="AC3" s="24" t="str">
        <f>IFERROR((C3-A3)/A3,"-")</f>
        <v>-</v>
      </c>
      <c r="AD3" s="19">
        <f>IFERROR(((D3-C3)/C3),"-")</f>
        <v>-6.3787041687594179E-2</v>
      </c>
      <c r="AE3" s="19">
        <f>IFERROR(((E3-D3)/D3),"-")</f>
        <v>-0.30096566523605151</v>
      </c>
      <c r="AF3" s="19">
        <f>IFERROR(((F3-E3)/E3),"-")</f>
        <v>-0.35072908672294706</v>
      </c>
      <c r="AG3" s="19">
        <f t="shared" ref="AG3:AN18" si="1">IFERROR(((G3-F3)/F3),"-")</f>
        <v>-0.23404255319148937</v>
      </c>
      <c r="AH3" s="19">
        <f t="shared" si="1"/>
        <v>6.4814814814814811E-2</v>
      </c>
      <c r="AI3" s="19">
        <f t="shared" si="1"/>
        <v>0.27536231884057971</v>
      </c>
      <c r="AJ3" s="19">
        <f t="shared" si="1"/>
        <v>0.55113636363636365</v>
      </c>
      <c r="AK3" s="19">
        <f t="shared" si="1"/>
        <v>0.49304029304029307</v>
      </c>
      <c r="AL3" s="19">
        <f t="shared" si="1"/>
        <v>-1</v>
      </c>
      <c r="AM3" s="19" t="str">
        <f t="shared" si="1"/>
        <v>-</v>
      </c>
      <c r="AN3" s="19" t="str">
        <f t="shared" si="1"/>
        <v>-</v>
      </c>
    </row>
    <row r="4" spans="1:40" ht="15.75" x14ac:dyDescent="0.5">
      <c r="A4" s="15" t="s">
        <v>9</v>
      </c>
      <c r="B4" s="15">
        <f>_xlfn.XLOOKUP(A4,[1]Sheet2!$I:$I,[1]Sheet2!$L:$L,0,)</f>
        <v>0</v>
      </c>
      <c r="C4" s="16">
        <v>1567</v>
      </c>
      <c r="D4" s="16">
        <v>1250</v>
      </c>
      <c r="E4" s="16">
        <v>785</v>
      </c>
      <c r="F4" s="16">
        <v>399</v>
      </c>
      <c r="G4" s="16">
        <v>379</v>
      </c>
      <c r="H4" s="16">
        <v>394</v>
      </c>
      <c r="I4" s="16">
        <v>630</v>
      </c>
      <c r="J4" s="17">
        <v>1376</v>
      </c>
      <c r="K4" s="17">
        <v>1860</v>
      </c>
      <c r="L4" s="17"/>
      <c r="M4" s="17"/>
      <c r="N4" s="17"/>
      <c r="O4" s="17">
        <f t="shared" ref="O4:O23" si="2">SUM(C4:N4)</f>
        <v>8640</v>
      </c>
      <c r="P4" s="18">
        <f t="shared" ref="P4:P26" si="3">IFERROR(C4/C$27,"-")</f>
        <v>0.2092681623931624</v>
      </c>
      <c r="Q4" s="18">
        <f t="shared" ref="Q4:Q26" si="4">IFERROR(D4/D$27,"-")</f>
        <v>0.17568517217146873</v>
      </c>
      <c r="R4" s="18">
        <f t="shared" ref="R4:R26" si="5">IFERROR(E4/E$27,"-")</f>
        <v>0.16402005850396992</v>
      </c>
      <c r="S4" s="18">
        <f t="shared" ref="S4:S26" si="6">IFERROR(F4/F$27,"-")</f>
        <v>0.14904744116548374</v>
      </c>
      <c r="T4" s="18">
        <f t="shared" ref="T4:T26" si="7">IFERROR(G4/G$27,"-")</f>
        <v>0.16666666666666666</v>
      </c>
      <c r="U4" s="18">
        <f t="shared" ref="U4:U26" si="8">IFERROR(H4/H$27,"-")</f>
        <v>0.16582491582491582</v>
      </c>
      <c r="V4" s="18">
        <f t="shared" ref="V4:V26" si="9">IFERROR(I4/I$27,"-")</f>
        <v>0.16831418648143201</v>
      </c>
      <c r="W4" s="18">
        <f t="shared" ref="W4:W26" si="10">IFERROR(J4/J$27,"-")</f>
        <v>0.213730972351662</v>
      </c>
      <c r="X4" s="18">
        <f t="shared" ref="X4:X26" si="11">IFERROR(K4/K$27,"-")</f>
        <v>0.17209474463360475</v>
      </c>
      <c r="Y4" s="18" t="str">
        <f t="shared" ref="Y4:Y26" si="12">IFERROR(L4/L$27,"-")</f>
        <v>-</v>
      </c>
      <c r="Z4" s="18" t="str">
        <f t="shared" ref="Z4:Z26" si="13">IFERROR(M4/M$27,"-")</f>
        <v>-</v>
      </c>
      <c r="AA4" s="18" t="str">
        <f t="shared" ref="AA4:AA26" si="14">IFERROR(N4/N$27,"-")</f>
        <v>-</v>
      </c>
      <c r="AB4" s="19">
        <f t="shared" ref="AB4:AB26" si="15">O4/O$27</f>
        <v>0.18158508648410079</v>
      </c>
      <c r="AC4" s="24" t="str">
        <f t="shared" ref="AC4:AC26" si="16">IFERROR((C4-A4)/A4,"-")</f>
        <v>-</v>
      </c>
      <c r="AD4" s="19">
        <f t="shared" ref="AD4:AD26" si="17">IFERROR(((D4-C4)/C4),"-")</f>
        <v>-0.20229738353541799</v>
      </c>
      <c r="AE4" s="19">
        <f t="shared" ref="AE4:AE26" si="18">IFERROR(((E4-D4)/D4),"-")</f>
        <v>-0.372</v>
      </c>
      <c r="AF4" s="19">
        <f t="shared" ref="AF4:AN26" si="19">IFERROR(((F4-E4)/E4),"-")</f>
        <v>-0.49171974522292994</v>
      </c>
      <c r="AG4" s="19">
        <f t="shared" si="1"/>
        <v>-5.0125313283208017E-2</v>
      </c>
      <c r="AH4" s="19">
        <f t="shared" si="1"/>
        <v>3.9577836411609502E-2</v>
      </c>
      <c r="AI4" s="19">
        <f t="shared" si="1"/>
        <v>0.59898477157360408</v>
      </c>
      <c r="AJ4" s="19">
        <f t="shared" si="1"/>
        <v>1.1841269841269841</v>
      </c>
      <c r="AK4" s="19">
        <f>IFERROR(((K4-J4)/J4),"-")</f>
        <v>0.35174418604651164</v>
      </c>
      <c r="AL4" s="19">
        <f t="shared" si="1"/>
        <v>-1</v>
      </c>
      <c r="AM4" s="19" t="str">
        <f t="shared" si="1"/>
        <v>-</v>
      </c>
      <c r="AN4" s="19" t="str">
        <f t="shared" si="1"/>
        <v>-</v>
      </c>
    </row>
    <row r="5" spans="1:40" ht="15.75" x14ac:dyDescent="0.5">
      <c r="A5" s="15" t="s">
        <v>12</v>
      </c>
      <c r="B5" s="15">
        <f>_xlfn.XLOOKUP(A5,[1]Sheet2!$I:$I,[1]Sheet2!$L:$L,0,)</f>
        <v>0</v>
      </c>
      <c r="C5" s="16">
        <v>571</v>
      </c>
      <c r="D5" s="16">
        <v>763</v>
      </c>
      <c r="E5" s="16">
        <v>468</v>
      </c>
      <c r="F5" s="16">
        <v>285</v>
      </c>
      <c r="G5" s="16">
        <v>337</v>
      </c>
      <c r="H5" s="16">
        <v>243</v>
      </c>
      <c r="I5" s="16">
        <v>507</v>
      </c>
      <c r="J5" s="17">
        <v>913</v>
      </c>
      <c r="K5" s="17">
        <v>1305</v>
      </c>
      <c r="L5" s="17"/>
      <c r="M5" s="17"/>
      <c r="N5" s="17"/>
      <c r="O5" s="17">
        <f t="shared" si="2"/>
        <v>5392</v>
      </c>
      <c r="P5" s="18">
        <f t="shared" si="3"/>
        <v>7.6255341880341887E-2</v>
      </c>
      <c r="Q5" s="18">
        <f t="shared" si="4"/>
        <v>0.10723822909346452</v>
      </c>
      <c r="R5" s="18">
        <f t="shared" si="5"/>
        <v>9.778520685332219E-2</v>
      </c>
      <c r="S5" s="18">
        <f t="shared" si="6"/>
        <v>0.10646245797534554</v>
      </c>
      <c r="T5" s="18">
        <f t="shared" si="7"/>
        <v>0.14819700967458224</v>
      </c>
      <c r="U5" s="18">
        <f t="shared" si="8"/>
        <v>0.10227272727272728</v>
      </c>
      <c r="V5" s="18">
        <f t="shared" si="9"/>
        <v>0.13545284531124765</v>
      </c>
      <c r="W5" s="18">
        <f t="shared" si="10"/>
        <v>0.14181422802112456</v>
      </c>
      <c r="X5" s="18">
        <f t="shared" si="11"/>
        <v>0.1207438934122872</v>
      </c>
      <c r="Y5" s="18" t="str">
        <f t="shared" si="12"/>
        <v>-</v>
      </c>
      <c r="Z5" s="18" t="str">
        <f t="shared" si="13"/>
        <v>-</v>
      </c>
      <c r="AA5" s="18" t="str">
        <f t="shared" si="14"/>
        <v>-</v>
      </c>
      <c r="AB5" s="19">
        <f t="shared" si="15"/>
        <v>0.11332254471322586</v>
      </c>
      <c r="AC5" s="24" t="str">
        <f t="shared" si="16"/>
        <v>-</v>
      </c>
      <c r="AD5" s="19">
        <f t="shared" si="17"/>
        <v>0.33625218914185639</v>
      </c>
      <c r="AE5" s="19">
        <f t="shared" si="18"/>
        <v>-0.38663171690694625</v>
      </c>
      <c r="AF5" s="19">
        <f t="shared" si="19"/>
        <v>-0.39102564102564102</v>
      </c>
      <c r="AG5" s="19">
        <f t="shared" si="1"/>
        <v>0.18245614035087721</v>
      </c>
      <c r="AH5" s="19">
        <f t="shared" si="1"/>
        <v>-0.27893175074183979</v>
      </c>
      <c r="AI5" s="19">
        <f t="shared" si="1"/>
        <v>1.0864197530864197</v>
      </c>
      <c r="AJ5" s="19">
        <f t="shared" si="1"/>
        <v>0.80078895463510846</v>
      </c>
      <c r="AK5" s="19">
        <f t="shared" si="1"/>
        <v>0.4293537787513691</v>
      </c>
      <c r="AL5" s="19">
        <f t="shared" si="1"/>
        <v>-1</v>
      </c>
      <c r="AM5" s="19" t="str">
        <f t="shared" si="1"/>
        <v>-</v>
      </c>
      <c r="AN5" s="19" t="str">
        <f t="shared" si="1"/>
        <v>-</v>
      </c>
    </row>
    <row r="6" spans="1:40" ht="15.75" x14ac:dyDescent="0.5">
      <c r="A6" s="15" t="s">
        <v>6</v>
      </c>
      <c r="B6" s="15">
        <f>_xlfn.XLOOKUP(A6,[1]Sheet2!$I:$I,[1]Sheet2!$L:$L,0,)</f>
        <v>0</v>
      </c>
      <c r="C6" s="16">
        <v>771</v>
      </c>
      <c r="D6" s="16">
        <v>718</v>
      </c>
      <c r="E6" s="16">
        <v>462</v>
      </c>
      <c r="F6" s="16">
        <v>213</v>
      </c>
      <c r="G6" s="16">
        <v>265</v>
      </c>
      <c r="H6" s="16">
        <v>314</v>
      </c>
      <c r="I6" s="16">
        <v>464</v>
      </c>
      <c r="J6" s="17">
        <v>673</v>
      </c>
      <c r="K6" s="17">
        <v>1167</v>
      </c>
      <c r="L6" s="17"/>
      <c r="M6" s="17"/>
      <c r="N6" s="17"/>
      <c r="O6" s="17">
        <f t="shared" si="2"/>
        <v>5047</v>
      </c>
      <c r="P6" s="18">
        <f t="shared" si="3"/>
        <v>0.10296474358974358</v>
      </c>
      <c r="Q6" s="18">
        <f t="shared" si="4"/>
        <v>0.10091356289529163</v>
      </c>
      <c r="R6" s="18">
        <f t="shared" si="5"/>
        <v>9.653155035520268E-2</v>
      </c>
      <c r="S6" s="18">
        <f t="shared" si="6"/>
        <v>7.9566679118416139E-2</v>
      </c>
      <c r="T6" s="18">
        <f t="shared" si="7"/>
        <v>0.11653474054529464</v>
      </c>
      <c r="U6" s="18">
        <f t="shared" si="8"/>
        <v>0.13215488215488216</v>
      </c>
      <c r="V6" s="18">
        <f t="shared" si="9"/>
        <v>0.12396473417045151</v>
      </c>
      <c r="W6" s="18">
        <f t="shared" si="10"/>
        <v>0.10453557005281143</v>
      </c>
      <c r="X6" s="18">
        <f t="shared" si="11"/>
        <v>0.10797557364914878</v>
      </c>
      <c r="Y6" s="18" t="str">
        <f t="shared" si="12"/>
        <v>-</v>
      </c>
      <c r="Z6" s="18" t="str">
        <f t="shared" si="13"/>
        <v>-</v>
      </c>
      <c r="AA6" s="18" t="str">
        <f t="shared" si="14"/>
        <v>-</v>
      </c>
      <c r="AB6" s="19">
        <f t="shared" si="15"/>
        <v>0.10607175132931213</v>
      </c>
      <c r="AC6" s="24" t="str">
        <f t="shared" si="16"/>
        <v>-</v>
      </c>
      <c r="AD6" s="19">
        <f t="shared" si="17"/>
        <v>-6.8741893644617386E-2</v>
      </c>
      <c r="AE6" s="19">
        <f t="shared" si="18"/>
        <v>-0.35654596100278552</v>
      </c>
      <c r="AF6" s="19">
        <f t="shared" si="19"/>
        <v>-0.53896103896103897</v>
      </c>
      <c r="AG6" s="19">
        <f t="shared" si="1"/>
        <v>0.24413145539906103</v>
      </c>
      <c r="AH6" s="19">
        <f t="shared" si="1"/>
        <v>0.18490566037735848</v>
      </c>
      <c r="AI6" s="19">
        <f t="shared" si="1"/>
        <v>0.47770700636942676</v>
      </c>
      <c r="AJ6" s="19">
        <f t="shared" si="1"/>
        <v>0.45043103448275862</v>
      </c>
      <c r="AK6" s="19">
        <f t="shared" si="1"/>
        <v>0.73402674591381867</v>
      </c>
      <c r="AL6" s="19">
        <f t="shared" si="1"/>
        <v>-1</v>
      </c>
      <c r="AM6" s="19" t="str">
        <f t="shared" si="1"/>
        <v>-</v>
      </c>
      <c r="AN6" s="19" t="str">
        <f t="shared" si="1"/>
        <v>-</v>
      </c>
    </row>
    <row r="7" spans="1:40" ht="15.75" x14ac:dyDescent="0.5">
      <c r="A7" s="15" t="s">
        <v>16</v>
      </c>
      <c r="B7" s="15">
        <f>_xlfn.XLOOKUP(A7,[1]Sheet2!$I:$I,[1]Sheet2!$L:$L,0,)</f>
        <v>0</v>
      </c>
      <c r="C7" s="16">
        <v>517</v>
      </c>
      <c r="D7" s="16">
        <v>537</v>
      </c>
      <c r="E7" s="16">
        <v>389</v>
      </c>
      <c r="F7" s="16">
        <v>200</v>
      </c>
      <c r="G7" s="16">
        <v>108</v>
      </c>
      <c r="H7" s="16">
        <v>87</v>
      </c>
      <c r="I7" s="16">
        <v>314</v>
      </c>
      <c r="J7" s="17">
        <v>306</v>
      </c>
      <c r="K7" s="17">
        <v>514</v>
      </c>
      <c r="L7" s="17"/>
      <c r="M7" s="17"/>
      <c r="N7" s="17"/>
      <c r="O7" s="17">
        <f t="shared" si="2"/>
        <v>2972</v>
      </c>
      <c r="P7" s="18">
        <f t="shared" si="3"/>
        <v>6.9043803418803423E-2</v>
      </c>
      <c r="Q7" s="18">
        <f t="shared" si="4"/>
        <v>7.5474349964862963E-2</v>
      </c>
      <c r="R7" s="18">
        <f t="shared" si="5"/>
        <v>8.12787296280819E-2</v>
      </c>
      <c r="S7" s="18">
        <f t="shared" si="6"/>
        <v>7.4710496824803879E-2</v>
      </c>
      <c r="T7" s="18">
        <f t="shared" si="7"/>
        <v>4.7493403693931395E-2</v>
      </c>
      <c r="U7" s="18">
        <f t="shared" si="8"/>
        <v>3.6616161616161616E-2</v>
      </c>
      <c r="V7" s="18">
        <f t="shared" si="9"/>
        <v>8.3889927865348657E-2</v>
      </c>
      <c r="W7" s="18">
        <f t="shared" si="10"/>
        <v>4.7530288909599254E-2</v>
      </c>
      <c r="X7" s="18">
        <f t="shared" si="11"/>
        <v>4.7557364914877866E-2</v>
      </c>
      <c r="Y7" s="18" t="str">
        <f t="shared" si="12"/>
        <v>-</v>
      </c>
      <c r="Z7" s="18" t="str">
        <f t="shared" si="13"/>
        <v>-</v>
      </c>
      <c r="AA7" s="18" t="str">
        <f t="shared" si="14"/>
        <v>-</v>
      </c>
      <c r="AB7" s="19">
        <f t="shared" si="15"/>
        <v>6.2461907063743931E-2</v>
      </c>
      <c r="AC7" s="24" t="str">
        <f t="shared" si="16"/>
        <v>-</v>
      </c>
      <c r="AD7" s="19">
        <f t="shared" si="17"/>
        <v>3.8684719535783368E-2</v>
      </c>
      <c r="AE7" s="19">
        <f t="shared" si="18"/>
        <v>-0.27560521415270017</v>
      </c>
      <c r="AF7" s="19">
        <f t="shared" si="19"/>
        <v>-0.48586118251928023</v>
      </c>
      <c r="AG7" s="19">
        <f>IFERROR(((G7-F7)/F7),"-")</f>
        <v>-0.46</v>
      </c>
      <c r="AH7" s="19">
        <f t="shared" si="1"/>
        <v>-0.19444444444444445</v>
      </c>
      <c r="AI7" s="19">
        <f t="shared" si="1"/>
        <v>2.6091954022988504</v>
      </c>
      <c r="AJ7" s="19">
        <f t="shared" si="1"/>
        <v>-2.5477707006369428E-2</v>
      </c>
      <c r="AK7" s="19">
        <f t="shared" si="1"/>
        <v>0.6797385620915033</v>
      </c>
      <c r="AL7" s="19">
        <f t="shared" si="1"/>
        <v>-1</v>
      </c>
      <c r="AM7" s="19" t="str">
        <f t="shared" si="1"/>
        <v>-</v>
      </c>
      <c r="AN7" s="19" t="str">
        <f t="shared" si="1"/>
        <v>-</v>
      </c>
    </row>
    <row r="8" spans="1:40" ht="15.75" x14ac:dyDescent="0.5">
      <c r="A8" s="15" t="s">
        <v>52</v>
      </c>
      <c r="B8" s="15">
        <f>_xlfn.XLOOKUP(A8,[1]Sheet2!$I:$I,[1]Sheet2!$L:$L,0,)</f>
        <v>0</v>
      </c>
      <c r="C8" s="16">
        <v>324</v>
      </c>
      <c r="D8" s="16">
        <v>389</v>
      </c>
      <c r="E8" s="16">
        <v>370</v>
      </c>
      <c r="F8" s="16">
        <v>104</v>
      </c>
      <c r="G8" s="16">
        <v>95</v>
      </c>
      <c r="H8" s="16">
        <v>102</v>
      </c>
      <c r="I8" s="16">
        <v>168</v>
      </c>
      <c r="J8" s="17">
        <v>273</v>
      </c>
      <c r="K8" s="17">
        <v>565</v>
      </c>
      <c r="L8" s="17"/>
      <c r="M8" s="17"/>
      <c r="N8" s="17"/>
      <c r="O8" s="17">
        <f t="shared" si="2"/>
        <v>2390</v>
      </c>
      <c r="P8" s="18">
        <f t="shared" si="3"/>
        <v>4.3269230769230768E-2</v>
      </c>
      <c r="Q8" s="18">
        <f t="shared" si="4"/>
        <v>5.4673225579761071E-2</v>
      </c>
      <c r="R8" s="18">
        <f t="shared" si="5"/>
        <v>7.7308817384036776E-2</v>
      </c>
      <c r="S8" s="18">
        <f t="shared" si="6"/>
        <v>3.8849458348898018E-2</v>
      </c>
      <c r="T8" s="18">
        <f t="shared" si="7"/>
        <v>4.1776605101143359E-2</v>
      </c>
      <c r="U8" s="18">
        <f t="shared" si="8"/>
        <v>4.2929292929292928E-2</v>
      </c>
      <c r="V8" s="18">
        <f t="shared" si="9"/>
        <v>4.4883783061715199E-2</v>
      </c>
      <c r="W8" s="18">
        <f t="shared" si="10"/>
        <v>4.2404473438956196E-2</v>
      </c>
      <c r="X8" s="18">
        <f t="shared" si="11"/>
        <v>5.2276091783863804E-2</v>
      </c>
      <c r="Y8" s="18" t="str">
        <f t="shared" si="12"/>
        <v>-</v>
      </c>
      <c r="Z8" s="18" t="str">
        <f t="shared" si="13"/>
        <v>-</v>
      </c>
      <c r="AA8" s="18" t="str">
        <f t="shared" si="14"/>
        <v>-</v>
      </c>
      <c r="AB8" s="19">
        <f t="shared" si="15"/>
        <v>5.0230133876967696E-2</v>
      </c>
      <c r="AC8" s="24" t="str">
        <f t="shared" si="16"/>
        <v>-</v>
      </c>
      <c r="AD8" s="19">
        <f t="shared" si="17"/>
        <v>0.20061728395061729</v>
      </c>
      <c r="AE8" s="19">
        <f t="shared" si="18"/>
        <v>-4.8843187660668377E-2</v>
      </c>
      <c r="AF8" s="19">
        <f t="shared" si="19"/>
        <v>-0.7189189189189189</v>
      </c>
      <c r="AG8" s="19">
        <f t="shared" si="1"/>
        <v>-8.6538461538461536E-2</v>
      </c>
      <c r="AH8" s="19">
        <f t="shared" si="1"/>
        <v>7.3684210526315783E-2</v>
      </c>
      <c r="AI8" s="19">
        <f t="shared" si="1"/>
        <v>0.6470588235294118</v>
      </c>
      <c r="AJ8" s="19">
        <f t="shared" si="1"/>
        <v>0.625</v>
      </c>
      <c r="AK8" s="19">
        <f t="shared" si="1"/>
        <v>1.0695970695970696</v>
      </c>
      <c r="AL8" s="19">
        <f t="shared" si="1"/>
        <v>-1</v>
      </c>
      <c r="AM8" s="19" t="str">
        <f t="shared" si="1"/>
        <v>-</v>
      </c>
      <c r="AN8" s="19" t="str">
        <f t="shared" si="1"/>
        <v>-</v>
      </c>
    </row>
    <row r="9" spans="1:40" ht="15.75" x14ac:dyDescent="0.5">
      <c r="A9" s="15" t="s">
        <v>53</v>
      </c>
      <c r="B9" s="15">
        <f>_xlfn.XLOOKUP(A9,[1]Sheet2!$I:$I,[1]Sheet2!$L:$L,0,)</f>
        <v>0</v>
      </c>
      <c r="C9" s="16">
        <v>234</v>
      </c>
      <c r="D9" s="16">
        <v>203</v>
      </c>
      <c r="E9" s="16">
        <v>168</v>
      </c>
      <c r="F9" s="16">
        <v>121</v>
      </c>
      <c r="G9" s="16">
        <v>129</v>
      </c>
      <c r="H9" s="16">
        <v>154</v>
      </c>
      <c r="I9" s="16">
        <v>206</v>
      </c>
      <c r="J9" s="17">
        <v>295</v>
      </c>
      <c r="K9" s="17">
        <v>473</v>
      </c>
      <c r="L9" s="17"/>
      <c r="M9" s="17"/>
      <c r="N9" s="17"/>
      <c r="O9" s="17">
        <f t="shared" si="2"/>
        <v>1983</v>
      </c>
      <c r="P9" s="18">
        <f t="shared" si="3"/>
        <v>3.125E-2</v>
      </c>
      <c r="Q9" s="18">
        <f t="shared" si="4"/>
        <v>2.8531271960646521E-2</v>
      </c>
      <c r="R9" s="18">
        <f t="shared" si="5"/>
        <v>3.5102381947346425E-2</v>
      </c>
      <c r="S9" s="18">
        <f t="shared" si="6"/>
        <v>4.519985057900635E-2</v>
      </c>
      <c r="T9" s="18">
        <f t="shared" si="7"/>
        <v>5.6728232189973617E-2</v>
      </c>
      <c r="U9" s="18">
        <f t="shared" si="8"/>
        <v>6.4814814814814811E-2</v>
      </c>
      <c r="V9" s="18">
        <f t="shared" si="9"/>
        <v>5.5036067325674592E-2</v>
      </c>
      <c r="W9" s="18">
        <f t="shared" si="10"/>
        <v>4.5821683752718237E-2</v>
      </c>
      <c r="X9" s="18">
        <f t="shared" si="11"/>
        <v>4.3763878608438195E-2</v>
      </c>
      <c r="Y9" s="18" t="str">
        <f t="shared" si="12"/>
        <v>-</v>
      </c>
      <c r="Z9" s="18" t="str">
        <f t="shared" si="13"/>
        <v>-</v>
      </c>
      <c r="AA9" s="18" t="str">
        <f t="shared" si="14"/>
        <v>-</v>
      </c>
      <c r="AB9" s="19">
        <f t="shared" si="15"/>
        <v>4.1676299363191192E-2</v>
      </c>
      <c r="AC9" s="24" t="str">
        <f t="shared" si="16"/>
        <v>-</v>
      </c>
      <c r="AD9" s="19">
        <f t="shared" si="17"/>
        <v>-0.13247863247863248</v>
      </c>
      <c r="AE9" s="19">
        <f t="shared" si="18"/>
        <v>-0.17241379310344829</v>
      </c>
      <c r="AF9" s="19">
        <f t="shared" si="19"/>
        <v>-0.27976190476190477</v>
      </c>
      <c r="AG9" s="19">
        <f t="shared" si="1"/>
        <v>6.6115702479338845E-2</v>
      </c>
      <c r="AH9" s="19">
        <f t="shared" si="1"/>
        <v>0.19379844961240311</v>
      </c>
      <c r="AI9" s="19">
        <f t="shared" si="1"/>
        <v>0.33766233766233766</v>
      </c>
      <c r="AJ9" s="19">
        <f t="shared" si="1"/>
        <v>0.43203883495145629</v>
      </c>
      <c r="AK9" s="19">
        <f t="shared" si="1"/>
        <v>0.60338983050847461</v>
      </c>
      <c r="AL9" s="19">
        <f t="shared" si="1"/>
        <v>-1</v>
      </c>
      <c r="AM9" s="19" t="str">
        <f t="shared" si="1"/>
        <v>-</v>
      </c>
      <c r="AN9" s="19" t="str">
        <f t="shared" si="1"/>
        <v>-</v>
      </c>
    </row>
    <row r="10" spans="1:40" ht="15.75" x14ac:dyDescent="0.5">
      <c r="A10" s="15" t="s">
        <v>11</v>
      </c>
      <c r="B10" s="15">
        <f>_xlfn.XLOOKUP(A10,[1]Sheet2!$I:$I,[1]Sheet2!$L:$L,0,)</f>
        <v>0</v>
      </c>
      <c r="C10" s="16">
        <v>431</v>
      </c>
      <c r="D10" s="16">
        <v>298</v>
      </c>
      <c r="E10" s="16">
        <v>253</v>
      </c>
      <c r="F10" s="16">
        <v>149</v>
      </c>
      <c r="G10" s="16">
        <v>70</v>
      </c>
      <c r="H10" s="16">
        <v>119</v>
      </c>
      <c r="I10" s="16">
        <v>109</v>
      </c>
      <c r="J10" s="17">
        <v>121</v>
      </c>
      <c r="K10" s="17">
        <v>236</v>
      </c>
      <c r="L10" s="17"/>
      <c r="M10" s="17"/>
      <c r="N10" s="17"/>
      <c r="O10" s="17">
        <f t="shared" si="2"/>
        <v>1786</v>
      </c>
      <c r="P10" s="18">
        <f t="shared" si="3"/>
        <v>5.755876068376068E-2</v>
      </c>
      <c r="Q10" s="18">
        <f t="shared" si="4"/>
        <v>4.1883345045678144E-2</v>
      </c>
      <c r="R10" s="18">
        <f t="shared" si="5"/>
        <v>5.2862515670706225E-2</v>
      </c>
      <c r="S10" s="18">
        <f t="shared" si="6"/>
        <v>5.5659320134478892E-2</v>
      </c>
      <c r="T10" s="18">
        <f t="shared" si="7"/>
        <v>3.0782761653474055E-2</v>
      </c>
      <c r="U10" s="18">
        <f t="shared" si="8"/>
        <v>5.0084175084175085E-2</v>
      </c>
      <c r="V10" s="18">
        <f t="shared" si="9"/>
        <v>2.9121025915041409E-2</v>
      </c>
      <c r="W10" s="18">
        <f t="shared" si="10"/>
        <v>1.8794656725691208E-2</v>
      </c>
      <c r="X10" s="18">
        <f t="shared" si="11"/>
        <v>2.1835677276091783E-2</v>
      </c>
      <c r="Y10" s="18" t="str">
        <f t="shared" si="12"/>
        <v>-</v>
      </c>
      <c r="Z10" s="18" t="str">
        <f t="shared" si="13"/>
        <v>-</v>
      </c>
      <c r="AA10" s="18" t="str">
        <f t="shared" si="14"/>
        <v>-</v>
      </c>
      <c r="AB10" s="19">
        <f t="shared" si="15"/>
        <v>3.7535991257014352E-2</v>
      </c>
      <c r="AC10" s="24" t="str">
        <f t="shared" si="16"/>
        <v>-</v>
      </c>
      <c r="AD10" s="19">
        <f t="shared" si="17"/>
        <v>-0.308584686774942</v>
      </c>
      <c r="AE10" s="19">
        <f t="shared" si="18"/>
        <v>-0.15100671140939598</v>
      </c>
      <c r="AF10" s="19">
        <f t="shared" si="19"/>
        <v>-0.41106719367588934</v>
      </c>
      <c r="AG10" s="19">
        <f t="shared" si="1"/>
        <v>-0.53020134228187921</v>
      </c>
      <c r="AH10" s="19">
        <f t="shared" si="1"/>
        <v>0.7</v>
      </c>
      <c r="AI10" s="19">
        <f t="shared" si="1"/>
        <v>-8.4033613445378158E-2</v>
      </c>
      <c r="AJ10" s="19">
        <f t="shared" si="1"/>
        <v>0.11009174311926606</v>
      </c>
      <c r="AK10" s="19">
        <f t="shared" si="1"/>
        <v>0.95041322314049592</v>
      </c>
      <c r="AL10" s="19">
        <f t="shared" si="1"/>
        <v>-1</v>
      </c>
      <c r="AM10" s="19" t="str">
        <f t="shared" si="1"/>
        <v>-</v>
      </c>
      <c r="AN10" s="19" t="str">
        <f t="shared" si="1"/>
        <v>-</v>
      </c>
    </row>
    <row r="11" spans="1:40" ht="15.75" x14ac:dyDescent="0.5">
      <c r="A11" s="15" t="s">
        <v>10</v>
      </c>
      <c r="B11" s="15">
        <f>_xlfn.XLOOKUP(A11,[1]Sheet2!$I:$I,[1]Sheet2!$L:$L,0,)</f>
        <v>0</v>
      </c>
      <c r="C11" s="16">
        <v>336</v>
      </c>
      <c r="D11" s="16">
        <v>377</v>
      </c>
      <c r="E11" s="16">
        <v>141</v>
      </c>
      <c r="F11" s="16">
        <v>140</v>
      </c>
      <c r="G11" s="16">
        <v>35</v>
      </c>
      <c r="H11" s="16">
        <v>27</v>
      </c>
      <c r="I11" s="16">
        <v>50</v>
      </c>
      <c r="J11" s="17">
        <v>127</v>
      </c>
      <c r="K11" s="17">
        <v>314</v>
      </c>
      <c r="L11" s="17"/>
      <c r="M11" s="17"/>
      <c r="N11" s="17"/>
      <c r="O11" s="17">
        <f t="shared" si="2"/>
        <v>1547</v>
      </c>
      <c r="P11" s="18">
        <f t="shared" si="3"/>
        <v>4.4871794871794872E-2</v>
      </c>
      <c r="Q11" s="18">
        <f t="shared" si="4"/>
        <v>5.2986647926914966E-2</v>
      </c>
      <c r="R11" s="18">
        <f t="shared" si="5"/>
        <v>2.9460927705808607E-2</v>
      </c>
      <c r="S11" s="18">
        <f t="shared" si="6"/>
        <v>5.2297347777362717E-2</v>
      </c>
      <c r="T11" s="18">
        <f t="shared" si="7"/>
        <v>1.5391380826737027E-2</v>
      </c>
      <c r="U11" s="18">
        <f t="shared" si="8"/>
        <v>1.1363636363636364E-2</v>
      </c>
      <c r="V11" s="18">
        <f t="shared" si="9"/>
        <v>1.3358268768367619E-2</v>
      </c>
      <c r="W11" s="18">
        <f t="shared" si="10"/>
        <v>1.9726623174899038E-2</v>
      </c>
      <c r="X11" s="18">
        <f t="shared" si="11"/>
        <v>2.9052553663952627E-2</v>
      </c>
      <c r="Y11" s="18" t="str">
        <f t="shared" si="12"/>
        <v>-</v>
      </c>
      <c r="Z11" s="18" t="str">
        <f t="shared" si="13"/>
        <v>-</v>
      </c>
      <c r="AA11" s="18" t="str">
        <f t="shared" si="14"/>
        <v>-</v>
      </c>
      <c r="AB11" s="19">
        <f t="shared" si="15"/>
        <v>3.2512977869317582E-2</v>
      </c>
      <c r="AC11" s="24" t="str">
        <f t="shared" si="16"/>
        <v>-</v>
      </c>
      <c r="AD11" s="19">
        <f t="shared" si="17"/>
        <v>0.12202380952380952</v>
      </c>
      <c r="AE11" s="19">
        <f t="shared" si="18"/>
        <v>-0.62599469496021221</v>
      </c>
      <c r="AF11" s="19">
        <f t="shared" si="19"/>
        <v>-7.0921985815602835E-3</v>
      </c>
      <c r="AG11" s="19">
        <f t="shared" si="1"/>
        <v>-0.75</v>
      </c>
      <c r="AH11" s="19">
        <f t="shared" si="1"/>
        <v>-0.22857142857142856</v>
      </c>
      <c r="AI11" s="19">
        <f t="shared" si="1"/>
        <v>0.85185185185185186</v>
      </c>
      <c r="AJ11" s="19">
        <f t="shared" si="1"/>
        <v>1.54</v>
      </c>
      <c r="AK11" s="19">
        <f t="shared" si="1"/>
        <v>1.4724409448818898</v>
      </c>
      <c r="AL11" s="19">
        <f t="shared" si="1"/>
        <v>-1</v>
      </c>
      <c r="AM11" s="19" t="str">
        <f t="shared" si="1"/>
        <v>-</v>
      </c>
      <c r="AN11" s="19" t="str">
        <f t="shared" si="1"/>
        <v>-</v>
      </c>
    </row>
    <row r="12" spans="1:40" ht="15.75" x14ac:dyDescent="0.5">
      <c r="A12" s="15" t="s">
        <v>14</v>
      </c>
      <c r="B12" s="15">
        <f>_xlfn.XLOOKUP(A12,[1]Sheet2!$I:$I,[1]Sheet2!$L:$L,0,)</f>
        <v>0</v>
      </c>
      <c r="C12" s="16">
        <v>212</v>
      </c>
      <c r="D12" s="16">
        <v>200</v>
      </c>
      <c r="E12" s="16">
        <v>165</v>
      </c>
      <c r="F12" s="16">
        <v>84</v>
      </c>
      <c r="G12" s="16">
        <v>47</v>
      </c>
      <c r="H12" s="16">
        <v>64</v>
      </c>
      <c r="I12" s="16">
        <v>73</v>
      </c>
      <c r="J12" s="17">
        <v>109</v>
      </c>
      <c r="K12" s="17">
        <v>214</v>
      </c>
      <c r="L12" s="17"/>
      <c r="M12" s="17"/>
      <c r="N12" s="17"/>
      <c r="O12" s="17">
        <f t="shared" si="2"/>
        <v>1168</v>
      </c>
      <c r="P12" s="18">
        <f t="shared" si="3"/>
        <v>2.8311965811965812E-2</v>
      </c>
      <c r="Q12" s="18">
        <f t="shared" si="4"/>
        <v>2.8109627547434995E-2</v>
      </c>
      <c r="R12" s="18">
        <f t="shared" si="5"/>
        <v>3.4475553698286671E-2</v>
      </c>
      <c r="S12" s="18">
        <f t="shared" si="6"/>
        <v>3.1378408666417633E-2</v>
      </c>
      <c r="T12" s="18">
        <f t="shared" si="7"/>
        <v>2.0668425681618294E-2</v>
      </c>
      <c r="U12" s="18">
        <f t="shared" si="8"/>
        <v>2.6936026936026935E-2</v>
      </c>
      <c r="V12" s="18">
        <f t="shared" si="9"/>
        <v>1.9503072401816725E-2</v>
      </c>
      <c r="W12" s="18">
        <f t="shared" si="10"/>
        <v>1.6930723827275552E-2</v>
      </c>
      <c r="X12" s="18">
        <f t="shared" si="11"/>
        <v>1.9800148038490006E-2</v>
      </c>
      <c r="Y12" s="18" t="str">
        <f t="shared" si="12"/>
        <v>-</v>
      </c>
      <c r="Z12" s="18" t="str">
        <f t="shared" si="13"/>
        <v>-</v>
      </c>
      <c r="AA12" s="18" t="str">
        <f t="shared" si="14"/>
        <v>-</v>
      </c>
      <c r="AB12" s="19">
        <f t="shared" si="15"/>
        <v>2.4547613543221034E-2</v>
      </c>
      <c r="AC12" s="24" t="str">
        <f t="shared" si="16"/>
        <v>-</v>
      </c>
      <c r="AD12" s="19">
        <f t="shared" si="17"/>
        <v>-5.6603773584905662E-2</v>
      </c>
      <c r="AE12" s="19">
        <f t="shared" si="18"/>
        <v>-0.17499999999999999</v>
      </c>
      <c r="AF12" s="19">
        <f t="shared" si="19"/>
        <v>-0.49090909090909091</v>
      </c>
      <c r="AG12" s="19">
        <f t="shared" si="1"/>
        <v>-0.44047619047619047</v>
      </c>
      <c r="AH12" s="19">
        <f t="shared" si="1"/>
        <v>0.36170212765957449</v>
      </c>
      <c r="AI12" s="19">
        <f t="shared" si="1"/>
        <v>0.140625</v>
      </c>
      <c r="AJ12" s="19">
        <f t="shared" si="1"/>
        <v>0.49315068493150682</v>
      </c>
      <c r="AK12" s="19">
        <f t="shared" si="1"/>
        <v>0.96330275229357798</v>
      </c>
      <c r="AL12" s="19">
        <f t="shared" si="1"/>
        <v>-1</v>
      </c>
      <c r="AM12" s="19" t="str">
        <f t="shared" si="1"/>
        <v>-</v>
      </c>
      <c r="AN12" s="19" t="str">
        <f t="shared" si="1"/>
        <v>-</v>
      </c>
    </row>
    <row r="13" spans="1:40" ht="15.75" x14ac:dyDescent="0.5">
      <c r="A13" s="15" t="s">
        <v>8</v>
      </c>
      <c r="B13" s="15">
        <f>_xlfn.XLOOKUP(A13,[1]Sheet2!$I:$I,[1]Sheet2!$L:$L,0,)</f>
        <v>0</v>
      </c>
      <c r="C13" s="16">
        <v>107</v>
      </c>
      <c r="D13" s="16">
        <v>133</v>
      </c>
      <c r="E13" s="16">
        <v>99</v>
      </c>
      <c r="F13" s="16">
        <v>38</v>
      </c>
      <c r="G13" s="16">
        <v>61</v>
      </c>
      <c r="H13" s="16">
        <v>51</v>
      </c>
      <c r="I13" s="16">
        <v>103</v>
      </c>
      <c r="J13" s="17">
        <v>179</v>
      </c>
      <c r="K13" s="17">
        <v>330</v>
      </c>
      <c r="L13" s="17"/>
      <c r="M13" s="17"/>
      <c r="N13" s="17"/>
      <c r="O13" s="17">
        <f t="shared" si="2"/>
        <v>1101</v>
      </c>
      <c r="P13" s="18">
        <f t="shared" si="3"/>
        <v>1.4289529914529914E-2</v>
      </c>
      <c r="Q13" s="18">
        <f t="shared" si="4"/>
        <v>1.8692902319044271E-2</v>
      </c>
      <c r="R13" s="18">
        <f t="shared" si="5"/>
        <v>2.0685332218972001E-2</v>
      </c>
      <c r="S13" s="18">
        <f t="shared" si="6"/>
        <v>1.4194994396712738E-2</v>
      </c>
      <c r="T13" s="18">
        <f t="shared" si="7"/>
        <v>2.6824978012313105E-2</v>
      </c>
      <c r="U13" s="18">
        <f t="shared" si="8"/>
        <v>2.1464646464646464E-2</v>
      </c>
      <c r="V13" s="18">
        <f t="shared" si="9"/>
        <v>2.7518033662837296E-2</v>
      </c>
      <c r="W13" s="18">
        <f t="shared" si="10"/>
        <v>2.7803665734700219E-2</v>
      </c>
      <c r="X13" s="18">
        <f t="shared" si="11"/>
        <v>3.0532938564026647E-2</v>
      </c>
      <c r="Y13" s="18" t="str">
        <f t="shared" si="12"/>
        <v>-</v>
      </c>
      <c r="Z13" s="18" t="str">
        <f t="shared" si="13"/>
        <v>-</v>
      </c>
      <c r="AA13" s="18" t="str">
        <f t="shared" si="14"/>
        <v>-</v>
      </c>
      <c r="AB13" s="19">
        <f t="shared" si="15"/>
        <v>2.3139488451272568E-2</v>
      </c>
      <c r="AC13" s="24" t="str">
        <f t="shared" si="16"/>
        <v>-</v>
      </c>
      <c r="AD13" s="19">
        <f t="shared" si="17"/>
        <v>0.24299065420560748</v>
      </c>
      <c r="AE13" s="19">
        <f t="shared" si="18"/>
        <v>-0.25563909774436089</v>
      </c>
      <c r="AF13" s="19">
        <f t="shared" si="19"/>
        <v>-0.61616161616161613</v>
      </c>
      <c r="AG13" s="19">
        <f t="shared" si="1"/>
        <v>0.60526315789473684</v>
      </c>
      <c r="AH13" s="19">
        <f t="shared" si="1"/>
        <v>-0.16393442622950818</v>
      </c>
      <c r="AI13" s="19">
        <f t="shared" si="1"/>
        <v>1.0196078431372548</v>
      </c>
      <c r="AJ13" s="19">
        <f t="shared" si="1"/>
        <v>0.73786407766990292</v>
      </c>
      <c r="AK13" s="19">
        <f t="shared" si="1"/>
        <v>0.84357541899441346</v>
      </c>
      <c r="AL13" s="19">
        <f t="shared" si="1"/>
        <v>-1</v>
      </c>
      <c r="AM13" s="19" t="str">
        <f t="shared" si="1"/>
        <v>-</v>
      </c>
      <c r="AN13" s="19" t="str">
        <f t="shared" si="1"/>
        <v>-</v>
      </c>
    </row>
    <row r="14" spans="1:40" ht="15.75" x14ac:dyDescent="0.5">
      <c r="A14" s="15" t="s">
        <v>62</v>
      </c>
      <c r="B14" s="15">
        <f>_xlfn.XLOOKUP(A14,[1]Sheet2!$I:$I,[1]Sheet2!$L:$L,0,)</f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38</v>
      </c>
      <c r="J14" s="17">
        <v>210</v>
      </c>
      <c r="K14" s="17">
        <v>375</v>
      </c>
      <c r="L14" s="17"/>
      <c r="M14" s="17"/>
      <c r="N14" s="17"/>
      <c r="O14" s="17">
        <f t="shared" si="2"/>
        <v>623</v>
      </c>
      <c r="P14" s="18">
        <f t="shared" si="3"/>
        <v>0</v>
      </c>
      <c r="Q14" s="18">
        <f t="shared" si="4"/>
        <v>0</v>
      </c>
      <c r="R14" s="18">
        <f t="shared" si="5"/>
        <v>0</v>
      </c>
      <c r="S14" s="18">
        <f t="shared" si="6"/>
        <v>0</v>
      </c>
      <c r="T14" s="18">
        <f t="shared" si="7"/>
        <v>0</v>
      </c>
      <c r="U14" s="18">
        <f t="shared" si="8"/>
        <v>0</v>
      </c>
      <c r="V14" s="18">
        <f t="shared" si="9"/>
        <v>1.015228426395939E-2</v>
      </c>
      <c r="W14" s="18">
        <f t="shared" si="10"/>
        <v>3.2618825722273995E-2</v>
      </c>
      <c r="X14" s="18">
        <f t="shared" si="11"/>
        <v>3.4696521095484829E-2</v>
      </c>
      <c r="Y14" s="18" t="str">
        <f t="shared" si="12"/>
        <v>-</v>
      </c>
      <c r="Z14" s="18" t="str">
        <f t="shared" si="13"/>
        <v>-</v>
      </c>
      <c r="AA14" s="18" t="str">
        <f t="shared" si="14"/>
        <v>-</v>
      </c>
      <c r="AB14" s="19">
        <f t="shared" si="15"/>
        <v>1.3093461675879027E-2</v>
      </c>
      <c r="AC14" s="24" t="str">
        <f t="shared" si="16"/>
        <v>-</v>
      </c>
      <c r="AD14" s="19" t="str">
        <f t="shared" si="17"/>
        <v>-</v>
      </c>
      <c r="AE14" s="19" t="str">
        <f t="shared" si="18"/>
        <v>-</v>
      </c>
      <c r="AF14" s="19" t="str">
        <f t="shared" si="19"/>
        <v>-</v>
      </c>
      <c r="AG14" s="19" t="str">
        <f t="shared" si="1"/>
        <v>-</v>
      </c>
      <c r="AH14" s="19" t="str">
        <f t="shared" si="1"/>
        <v>-</v>
      </c>
      <c r="AI14" s="19" t="str">
        <f t="shared" si="1"/>
        <v>-</v>
      </c>
      <c r="AJ14" s="19">
        <f t="shared" si="1"/>
        <v>4.5263157894736841</v>
      </c>
      <c r="AK14" s="19">
        <f t="shared" si="1"/>
        <v>0.7857142857142857</v>
      </c>
      <c r="AL14" s="19">
        <f t="shared" si="1"/>
        <v>-1</v>
      </c>
      <c r="AM14" s="19" t="str">
        <f t="shared" si="1"/>
        <v>-</v>
      </c>
      <c r="AN14" s="19" t="str">
        <f t="shared" si="1"/>
        <v>-</v>
      </c>
    </row>
    <row r="15" spans="1:40" ht="15.75" x14ac:dyDescent="0.5">
      <c r="A15" s="15" t="s">
        <v>63</v>
      </c>
      <c r="B15" s="15">
        <f>_xlfn.XLOOKUP(A15,[1]Sheet2!$I:$I,[1]Sheet2!$L:$L,0,)</f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44</v>
      </c>
      <c r="J15" s="17">
        <v>210</v>
      </c>
      <c r="K15" s="17">
        <v>364</v>
      </c>
      <c r="L15" s="17"/>
      <c r="M15" s="17"/>
      <c r="N15" s="17"/>
      <c r="O15" s="17">
        <f t="shared" si="2"/>
        <v>618</v>
      </c>
      <c r="P15" s="18">
        <f t="shared" si="3"/>
        <v>0</v>
      </c>
      <c r="Q15" s="18">
        <f t="shared" si="4"/>
        <v>0</v>
      </c>
      <c r="R15" s="18">
        <f t="shared" si="5"/>
        <v>0</v>
      </c>
      <c r="S15" s="18">
        <f t="shared" si="6"/>
        <v>0</v>
      </c>
      <c r="T15" s="18">
        <f t="shared" si="7"/>
        <v>0</v>
      </c>
      <c r="U15" s="18">
        <f t="shared" si="8"/>
        <v>0</v>
      </c>
      <c r="V15" s="18">
        <f t="shared" si="9"/>
        <v>1.1755276516163505E-2</v>
      </c>
      <c r="W15" s="18">
        <f t="shared" si="10"/>
        <v>3.2618825722273995E-2</v>
      </c>
      <c r="X15" s="18">
        <f t="shared" si="11"/>
        <v>3.367875647668394E-2</v>
      </c>
      <c r="Y15" s="18" t="str">
        <f t="shared" si="12"/>
        <v>-</v>
      </c>
      <c r="Z15" s="18" t="str">
        <f t="shared" si="13"/>
        <v>-</v>
      </c>
      <c r="AA15" s="18" t="str">
        <f t="shared" si="14"/>
        <v>-</v>
      </c>
      <c r="AB15" s="19">
        <f t="shared" si="15"/>
        <v>1.298837771379332E-2</v>
      </c>
      <c r="AC15" s="24" t="str">
        <f t="shared" si="16"/>
        <v>-</v>
      </c>
      <c r="AD15" s="19" t="str">
        <f t="shared" si="17"/>
        <v>-</v>
      </c>
      <c r="AE15" s="19" t="str">
        <f t="shared" si="18"/>
        <v>-</v>
      </c>
      <c r="AF15" s="19" t="str">
        <f t="shared" si="19"/>
        <v>-</v>
      </c>
      <c r="AG15" s="19" t="str">
        <f t="shared" si="1"/>
        <v>-</v>
      </c>
      <c r="AH15" s="19" t="str">
        <f t="shared" si="1"/>
        <v>-</v>
      </c>
      <c r="AI15" s="19" t="str">
        <f t="shared" si="1"/>
        <v>-</v>
      </c>
      <c r="AJ15" s="19">
        <f t="shared" si="1"/>
        <v>3.7727272727272729</v>
      </c>
      <c r="AK15" s="19">
        <f t="shared" si="1"/>
        <v>0.73333333333333328</v>
      </c>
      <c r="AL15" s="19">
        <f t="shared" si="1"/>
        <v>-1</v>
      </c>
      <c r="AM15" s="19" t="str">
        <f t="shared" si="1"/>
        <v>-</v>
      </c>
      <c r="AN15" s="19" t="str">
        <f t="shared" si="1"/>
        <v>-</v>
      </c>
    </row>
    <row r="16" spans="1:40" ht="15.75" x14ac:dyDescent="0.5">
      <c r="A16" s="15" t="s">
        <v>15</v>
      </c>
      <c r="B16" s="15">
        <f>_xlfn.XLOOKUP(A16,[1]Sheet2!$I:$I,[1]Sheet2!$L:$L,0,)</f>
        <v>0</v>
      </c>
      <c r="C16" s="16">
        <v>60</v>
      </c>
      <c r="D16" s="16">
        <v>67</v>
      </c>
      <c r="E16" s="16">
        <v>37</v>
      </c>
      <c r="F16" s="16">
        <v>27</v>
      </c>
      <c r="G16" s="16">
        <v>34</v>
      </c>
      <c r="H16" s="16">
        <v>48</v>
      </c>
      <c r="I16" s="16">
        <v>51</v>
      </c>
      <c r="J16" s="17">
        <v>110</v>
      </c>
      <c r="K16" s="17">
        <v>98</v>
      </c>
      <c r="L16" s="17"/>
      <c r="M16" s="17"/>
      <c r="N16" s="17"/>
      <c r="O16" s="17">
        <f t="shared" si="2"/>
        <v>532</v>
      </c>
      <c r="P16" s="18">
        <f t="shared" si="3"/>
        <v>8.0128205128205121E-3</v>
      </c>
      <c r="Q16" s="18">
        <f t="shared" si="4"/>
        <v>9.4167252283907238E-3</v>
      </c>
      <c r="R16" s="18">
        <f t="shared" si="5"/>
        <v>7.7308817384036778E-3</v>
      </c>
      <c r="S16" s="18">
        <f t="shared" si="6"/>
        <v>1.0085917071348524E-2</v>
      </c>
      <c r="T16" s="18">
        <f t="shared" si="7"/>
        <v>1.4951627088830254E-2</v>
      </c>
      <c r="U16" s="18">
        <f t="shared" si="8"/>
        <v>2.0202020202020204E-2</v>
      </c>
      <c r="V16" s="18">
        <f t="shared" si="9"/>
        <v>1.3625434143734972E-2</v>
      </c>
      <c r="W16" s="18">
        <f t="shared" si="10"/>
        <v>1.7086051568810188E-2</v>
      </c>
      <c r="X16" s="18">
        <f t="shared" si="11"/>
        <v>9.0673575129533671E-3</v>
      </c>
      <c r="Y16" s="18" t="str">
        <f t="shared" si="12"/>
        <v>-</v>
      </c>
      <c r="Z16" s="18" t="str">
        <f t="shared" si="13"/>
        <v>-</v>
      </c>
      <c r="AA16" s="18" t="str">
        <f t="shared" si="14"/>
        <v>-</v>
      </c>
      <c r="AB16" s="19">
        <f t="shared" si="15"/>
        <v>1.118093356591917E-2</v>
      </c>
      <c r="AC16" s="24" t="str">
        <f t="shared" si="16"/>
        <v>-</v>
      </c>
      <c r="AD16" s="19">
        <f t="shared" si="17"/>
        <v>0.11666666666666667</v>
      </c>
      <c r="AE16" s="19">
        <f t="shared" si="18"/>
        <v>-0.44776119402985076</v>
      </c>
      <c r="AF16" s="19">
        <f t="shared" si="19"/>
        <v>-0.27027027027027029</v>
      </c>
      <c r="AG16" s="19">
        <f t="shared" si="1"/>
        <v>0.25925925925925924</v>
      </c>
      <c r="AH16" s="19">
        <f t="shared" si="1"/>
        <v>0.41176470588235292</v>
      </c>
      <c r="AI16" s="19">
        <f t="shared" si="1"/>
        <v>6.25E-2</v>
      </c>
      <c r="AJ16" s="19">
        <f t="shared" si="1"/>
        <v>1.1568627450980393</v>
      </c>
      <c r="AK16" s="19">
        <f t="shared" si="1"/>
        <v>-0.10909090909090909</v>
      </c>
      <c r="AL16" s="19">
        <f t="shared" si="1"/>
        <v>-1</v>
      </c>
      <c r="AM16" s="19" t="str">
        <f t="shared" si="1"/>
        <v>-</v>
      </c>
      <c r="AN16" s="19" t="str">
        <f t="shared" si="1"/>
        <v>-</v>
      </c>
    </row>
    <row r="17" spans="1:40" ht="15.75" x14ac:dyDescent="0.5">
      <c r="A17" s="15" t="s">
        <v>40</v>
      </c>
      <c r="B17" s="15">
        <f>_xlfn.XLOOKUP(A17,[1]Sheet2!$I:$I,[1]Sheet2!$L:$L,0,)</f>
        <v>0</v>
      </c>
      <c r="C17" s="16">
        <v>36</v>
      </c>
      <c r="D17" s="16">
        <v>24</v>
      </c>
      <c r="E17" s="16">
        <v>5</v>
      </c>
      <c r="F17" s="16">
        <v>8</v>
      </c>
      <c r="G17" s="16">
        <v>0</v>
      </c>
      <c r="H17" s="16">
        <v>3</v>
      </c>
      <c r="I17" s="16">
        <v>0</v>
      </c>
      <c r="J17" s="17">
        <v>0</v>
      </c>
      <c r="K17" s="17">
        <v>378</v>
      </c>
      <c r="L17" s="17"/>
      <c r="M17" s="17"/>
      <c r="N17" s="17"/>
      <c r="O17" s="17">
        <f t="shared" si="2"/>
        <v>454</v>
      </c>
      <c r="P17" s="18">
        <f t="shared" si="3"/>
        <v>4.807692307692308E-3</v>
      </c>
      <c r="Q17" s="18">
        <f t="shared" si="4"/>
        <v>3.3731553056921995E-3</v>
      </c>
      <c r="R17" s="18">
        <f t="shared" si="5"/>
        <v>1.0447137484329294E-3</v>
      </c>
      <c r="S17" s="18">
        <f t="shared" si="6"/>
        <v>2.9884198729921555E-3</v>
      </c>
      <c r="T17" s="18">
        <f t="shared" si="7"/>
        <v>0</v>
      </c>
      <c r="U17" s="18">
        <f t="shared" si="8"/>
        <v>1.2626262626262627E-3</v>
      </c>
      <c r="V17" s="18">
        <f t="shared" si="9"/>
        <v>0</v>
      </c>
      <c r="W17" s="18">
        <f t="shared" si="10"/>
        <v>0</v>
      </c>
      <c r="X17" s="18">
        <f t="shared" si="11"/>
        <v>3.4974093264248704E-2</v>
      </c>
      <c r="Y17" s="18" t="str">
        <f t="shared" si="12"/>
        <v>-</v>
      </c>
      <c r="Z17" s="18" t="str">
        <f t="shared" si="13"/>
        <v>-</v>
      </c>
      <c r="AA17" s="18" t="str">
        <f t="shared" si="14"/>
        <v>-</v>
      </c>
      <c r="AB17" s="19">
        <f t="shared" si="15"/>
        <v>9.5416237573821491E-3</v>
      </c>
      <c r="AC17" s="24" t="str">
        <f t="shared" si="16"/>
        <v>-</v>
      </c>
      <c r="AD17" s="19">
        <f t="shared" si="17"/>
        <v>-0.33333333333333331</v>
      </c>
      <c r="AE17" s="19">
        <f t="shared" si="18"/>
        <v>-0.79166666666666663</v>
      </c>
      <c r="AF17" s="19">
        <f t="shared" si="19"/>
        <v>0.6</v>
      </c>
      <c r="AG17" s="19">
        <f t="shared" si="1"/>
        <v>-1</v>
      </c>
      <c r="AH17" s="19" t="str">
        <f t="shared" si="1"/>
        <v>-</v>
      </c>
      <c r="AI17" s="19">
        <f t="shared" si="1"/>
        <v>-1</v>
      </c>
      <c r="AJ17" s="19" t="str">
        <f t="shared" si="1"/>
        <v>-</v>
      </c>
      <c r="AK17" s="19" t="str">
        <f t="shared" si="1"/>
        <v>-</v>
      </c>
      <c r="AL17" s="19">
        <f t="shared" si="1"/>
        <v>-1</v>
      </c>
      <c r="AM17" s="19" t="str">
        <f t="shared" si="1"/>
        <v>-</v>
      </c>
      <c r="AN17" s="19" t="str">
        <f t="shared" si="1"/>
        <v>-</v>
      </c>
    </row>
    <row r="18" spans="1:40" ht="15.75" x14ac:dyDescent="0.5">
      <c r="A18" s="15" t="s">
        <v>18</v>
      </c>
      <c r="B18" s="15">
        <f>_xlfn.XLOOKUP(A18,[1]Sheet2!$I:$I,[1]Sheet2!$L:$L,0,)</f>
        <v>0</v>
      </c>
      <c r="C18" s="16">
        <v>39</v>
      </c>
      <c r="D18" s="16">
        <v>76</v>
      </c>
      <c r="E18" s="16">
        <v>26</v>
      </c>
      <c r="F18" s="16">
        <v>9</v>
      </c>
      <c r="G18" s="16">
        <v>9</v>
      </c>
      <c r="H18" s="16">
        <v>25</v>
      </c>
      <c r="I18" s="16">
        <v>36</v>
      </c>
      <c r="J18" s="17">
        <v>41</v>
      </c>
      <c r="K18" s="17">
        <v>152</v>
      </c>
      <c r="L18" s="17"/>
      <c r="M18" s="17"/>
      <c r="N18" s="17"/>
      <c r="O18" s="17">
        <f t="shared" si="2"/>
        <v>413</v>
      </c>
      <c r="P18" s="18">
        <f t="shared" si="3"/>
        <v>5.208333333333333E-3</v>
      </c>
      <c r="Q18" s="18">
        <f t="shared" si="4"/>
        <v>1.0681658468025299E-2</v>
      </c>
      <c r="R18" s="18">
        <f t="shared" si="5"/>
        <v>5.4325114918512326E-3</v>
      </c>
      <c r="S18" s="18">
        <f t="shared" si="6"/>
        <v>3.3619723571161747E-3</v>
      </c>
      <c r="T18" s="18">
        <f t="shared" si="7"/>
        <v>3.9577836411609502E-3</v>
      </c>
      <c r="U18" s="18">
        <f t="shared" si="8"/>
        <v>1.0521885521885523E-2</v>
      </c>
      <c r="V18" s="18">
        <f t="shared" si="9"/>
        <v>9.6179535132246852E-3</v>
      </c>
      <c r="W18" s="18">
        <f t="shared" si="10"/>
        <v>6.3684374029201619E-3</v>
      </c>
      <c r="X18" s="18">
        <f t="shared" si="11"/>
        <v>1.4063656550703183E-2</v>
      </c>
      <c r="Y18" s="18" t="str">
        <f t="shared" si="12"/>
        <v>-</v>
      </c>
      <c r="Z18" s="18" t="str">
        <f t="shared" si="13"/>
        <v>-</v>
      </c>
      <c r="AA18" s="18" t="str">
        <f t="shared" si="14"/>
        <v>-</v>
      </c>
      <c r="AB18" s="19">
        <f t="shared" si="15"/>
        <v>8.6799352682793551E-3</v>
      </c>
      <c r="AC18" s="24" t="str">
        <f t="shared" si="16"/>
        <v>-</v>
      </c>
      <c r="AD18" s="19">
        <f t="shared" si="17"/>
        <v>0.94871794871794868</v>
      </c>
      <c r="AE18" s="19">
        <f t="shared" si="18"/>
        <v>-0.65789473684210531</v>
      </c>
      <c r="AF18" s="19">
        <f t="shared" si="19"/>
        <v>-0.65384615384615385</v>
      </c>
      <c r="AG18" s="19">
        <f t="shared" si="1"/>
        <v>0</v>
      </c>
      <c r="AH18" s="19">
        <f t="shared" si="1"/>
        <v>1.7777777777777777</v>
      </c>
      <c r="AI18" s="19">
        <f t="shared" si="1"/>
        <v>0.44</v>
      </c>
      <c r="AJ18" s="19">
        <f t="shared" si="1"/>
        <v>0.1388888888888889</v>
      </c>
      <c r="AK18" s="19">
        <f t="shared" si="1"/>
        <v>2.7073170731707319</v>
      </c>
      <c r="AL18" s="19">
        <f t="shared" si="1"/>
        <v>-1</v>
      </c>
      <c r="AM18" s="19" t="str">
        <f t="shared" si="1"/>
        <v>-</v>
      </c>
      <c r="AN18" s="19" t="str">
        <f t="shared" si="1"/>
        <v>-</v>
      </c>
    </row>
    <row r="19" spans="1:40" ht="15.75" x14ac:dyDescent="0.5">
      <c r="A19" s="15" t="s">
        <v>56</v>
      </c>
      <c r="B19" s="15">
        <f>_xlfn.XLOOKUP(A19,[1]Sheet2!$I:$I,[1]Sheet2!$L:$L,0,)</f>
        <v>0</v>
      </c>
      <c r="C19" s="16">
        <v>12</v>
      </c>
      <c r="D19" s="16">
        <v>20</v>
      </c>
      <c r="E19" s="16">
        <v>27</v>
      </c>
      <c r="F19" s="16">
        <v>10</v>
      </c>
      <c r="G19" s="16">
        <v>14</v>
      </c>
      <c r="H19" s="16">
        <v>23</v>
      </c>
      <c r="I19" s="16">
        <v>23</v>
      </c>
      <c r="J19" s="17">
        <v>46</v>
      </c>
      <c r="K19" s="17">
        <v>193</v>
      </c>
      <c r="L19" s="17"/>
      <c r="M19" s="17"/>
      <c r="N19" s="17"/>
      <c r="O19" s="17">
        <f t="shared" si="2"/>
        <v>368</v>
      </c>
      <c r="P19" s="18">
        <f t="shared" si="3"/>
        <v>1.6025641025641025E-3</v>
      </c>
      <c r="Q19" s="18">
        <f t="shared" si="4"/>
        <v>2.8109627547434997E-3</v>
      </c>
      <c r="R19" s="18">
        <f t="shared" si="5"/>
        <v>5.641454241537819E-3</v>
      </c>
      <c r="S19" s="18">
        <f t="shared" si="6"/>
        <v>3.7355248412401943E-3</v>
      </c>
      <c r="T19" s="18">
        <f t="shared" si="7"/>
        <v>6.156552330694811E-3</v>
      </c>
      <c r="U19" s="18">
        <f t="shared" si="8"/>
        <v>9.6801346801346794E-3</v>
      </c>
      <c r="V19" s="18">
        <f t="shared" si="9"/>
        <v>6.1448036334491047E-3</v>
      </c>
      <c r="W19" s="18">
        <f t="shared" si="10"/>
        <v>7.1450761105933524E-3</v>
      </c>
      <c r="X19" s="18">
        <f t="shared" si="11"/>
        <v>1.7857142857142856E-2</v>
      </c>
      <c r="Y19" s="18" t="str">
        <f t="shared" si="12"/>
        <v>-</v>
      </c>
      <c r="Z19" s="18" t="str">
        <f t="shared" si="13"/>
        <v>-</v>
      </c>
      <c r="AA19" s="18" t="str">
        <f t="shared" si="14"/>
        <v>-</v>
      </c>
      <c r="AB19" s="19">
        <f t="shared" si="15"/>
        <v>7.7341796095079969E-3</v>
      </c>
      <c r="AC19" s="24" t="str">
        <f t="shared" si="16"/>
        <v>-</v>
      </c>
      <c r="AD19" s="19">
        <f t="shared" si="17"/>
        <v>0.66666666666666663</v>
      </c>
      <c r="AE19" s="19">
        <f t="shared" si="18"/>
        <v>0.35</v>
      </c>
      <c r="AF19" s="19">
        <f t="shared" si="19"/>
        <v>-0.62962962962962965</v>
      </c>
      <c r="AG19" s="19">
        <f t="shared" si="19"/>
        <v>0.4</v>
      </c>
      <c r="AH19" s="19">
        <f t="shared" si="19"/>
        <v>0.6428571428571429</v>
      </c>
      <c r="AI19" s="19">
        <f t="shared" si="19"/>
        <v>0</v>
      </c>
      <c r="AJ19" s="19">
        <f t="shared" si="19"/>
        <v>1</v>
      </c>
      <c r="AK19" s="19">
        <f t="shared" si="19"/>
        <v>3.1956521739130435</v>
      </c>
      <c r="AL19" s="19">
        <f t="shared" si="19"/>
        <v>-1</v>
      </c>
      <c r="AM19" s="19" t="str">
        <f t="shared" si="19"/>
        <v>-</v>
      </c>
      <c r="AN19" s="19" t="str">
        <f t="shared" si="19"/>
        <v>-</v>
      </c>
    </row>
    <row r="20" spans="1:40" ht="15.75" x14ac:dyDescent="0.5">
      <c r="A20" s="15" t="s">
        <v>17</v>
      </c>
      <c r="B20" s="15">
        <f>_xlfn.XLOOKUP(A20,[1]Sheet2!$I:$I,[1]Sheet2!$L:$L,0,)</f>
        <v>0</v>
      </c>
      <c r="C20" s="16">
        <v>42</v>
      </c>
      <c r="D20" s="16">
        <v>41</v>
      </c>
      <c r="E20" s="16">
        <v>24</v>
      </c>
      <c r="F20" s="16">
        <v>15</v>
      </c>
      <c r="G20" s="16">
        <v>20</v>
      </c>
      <c r="H20" s="16">
        <v>20</v>
      </c>
      <c r="I20" s="16">
        <v>24</v>
      </c>
      <c r="J20" s="17">
        <v>41</v>
      </c>
      <c r="K20" s="17">
        <v>64</v>
      </c>
      <c r="L20" s="17"/>
      <c r="M20" s="17"/>
      <c r="N20" s="17"/>
      <c r="O20" s="17">
        <f t="shared" si="2"/>
        <v>291</v>
      </c>
      <c r="P20" s="18">
        <f t="shared" si="3"/>
        <v>5.608974358974359E-3</v>
      </c>
      <c r="Q20" s="18">
        <f t="shared" si="4"/>
        <v>5.7624736472241742E-3</v>
      </c>
      <c r="R20" s="18">
        <f t="shared" si="5"/>
        <v>5.0146259924780607E-3</v>
      </c>
      <c r="S20" s="18">
        <f t="shared" si="6"/>
        <v>5.6032872618602915E-3</v>
      </c>
      <c r="T20" s="18">
        <f t="shared" si="7"/>
        <v>8.795074758135445E-3</v>
      </c>
      <c r="U20" s="18">
        <f t="shared" si="8"/>
        <v>8.4175084175084174E-3</v>
      </c>
      <c r="V20" s="18">
        <f t="shared" si="9"/>
        <v>6.4119690088164571E-3</v>
      </c>
      <c r="W20" s="18">
        <f t="shared" si="10"/>
        <v>6.3684374029201619E-3</v>
      </c>
      <c r="X20" s="18">
        <f t="shared" si="11"/>
        <v>5.9215396002960767E-3</v>
      </c>
      <c r="Y20" s="18" t="str">
        <f t="shared" si="12"/>
        <v>-</v>
      </c>
      <c r="Z20" s="18" t="str">
        <f t="shared" si="13"/>
        <v>-</v>
      </c>
      <c r="AA20" s="18" t="str">
        <f t="shared" si="14"/>
        <v>-</v>
      </c>
      <c r="AB20" s="19">
        <f t="shared" si="15"/>
        <v>6.1158865933881174E-3</v>
      </c>
      <c r="AC20" s="24" t="str">
        <f t="shared" si="16"/>
        <v>-</v>
      </c>
      <c r="AD20" s="19">
        <f t="shared" si="17"/>
        <v>-2.3809523809523808E-2</v>
      </c>
      <c r="AE20" s="19">
        <f t="shared" si="18"/>
        <v>-0.41463414634146339</v>
      </c>
      <c r="AF20" s="19">
        <f t="shared" si="19"/>
        <v>-0.375</v>
      </c>
      <c r="AG20" s="19">
        <f t="shared" si="19"/>
        <v>0.33333333333333331</v>
      </c>
      <c r="AH20" s="19">
        <f t="shared" si="19"/>
        <v>0</v>
      </c>
      <c r="AI20" s="19">
        <f t="shared" si="19"/>
        <v>0.2</v>
      </c>
      <c r="AJ20" s="19">
        <f t="shared" si="19"/>
        <v>0.70833333333333337</v>
      </c>
      <c r="AK20" s="19">
        <f t="shared" si="19"/>
        <v>0.56097560975609762</v>
      </c>
      <c r="AL20" s="19">
        <f t="shared" si="19"/>
        <v>-1</v>
      </c>
      <c r="AM20" s="19" t="str">
        <f t="shared" si="19"/>
        <v>-</v>
      </c>
      <c r="AN20" s="19" t="str">
        <f t="shared" si="19"/>
        <v>-</v>
      </c>
    </row>
    <row r="21" spans="1:40" ht="15.75" x14ac:dyDescent="0.5">
      <c r="A21" s="15" t="s">
        <v>13</v>
      </c>
      <c r="B21" s="15">
        <f>_xlfn.XLOOKUP(A21,[1]Sheet2!$I:$I,[1]Sheet2!$L:$L,0,)</f>
        <v>0</v>
      </c>
      <c r="C21" s="16">
        <v>7</v>
      </c>
      <c r="D21" s="16">
        <v>6</v>
      </c>
      <c r="E21" s="16">
        <v>6</v>
      </c>
      <c r="F21" s="16">
        <v>10</v>
      </c>
      <c r="G21" s="16">
        <v>7</v>
      </c>
      <c r="H21" s="16">
        <v>11</v>
      </c>
      <c r="I21" s="16">
        <v>23</v>
      </c>
      <c r="J21" s="17">
        <v>43</v>
      </c>
      <c r="K21" s="17">
        <v>145</v>
      </c>
      <c r="L21" s="17"/>
      <c r="M21" s="17"/>
      <c r="N21" s="17"/>
      <c r="O21" s="17">
        <f t="shared" si="2"/>
        <v>258</v>
      </c>
      <c r="P21" s="18">
        <f t="shared" si="3"/>
        <v>9.3482905982905987E-4</v>
      </c>
      <c r="Q21" s="18">
        <f t="shared" si="4"/>
        <v>8.4328882642304987E-4</v>
      </c>
      <c r="R21" s="18">
        <f t="shared" si="5"/>
        <v>1.2536564981195152E-3</v>
      </c>
      <c r="S21" s="18">
        <f t="shared" si="6"/>
        <v>3.7355248412401943E-3</v>
      </c>
      <c r="T21" s="18">
        <f t="shared" si="7"/>
        <v>3.0782761653474055E-3</v>
      </c>
      <c r="U21" s="18">
        <f t="shared" si="8"/>
        <v>4.6296296296296294E-3</v>
      </c>
      <c r="V21" s="18">
        <f t="shared" si="9"/>
        <v>6.1448036334491047E-3</v>
      </c>
      <c r="W21" s="18">
        <f t="shared" si="10"/>
        <v>6.6790928859894374E-3</v>
      </c>
      <c r="X21" s="18">
        <f t="shared" si="11"/>
        <v>1.3415988156920799E-2</v>
      </c>
      <c r="Y21" s="18" t="str">
        <f t="shared" si="12"/>
        <v>-</v>
      </c>
      <c r="Z21" s="18" t="str">
        <f t="shared" si="13"/>
        <v>-</v>
      </c>
      <c r="AA21" s="18" t="str">
        <f t="shared" si="14"/>
        <v>-</v>
      </c>
      <c r="AB21" s="19">
        <f t="shared" si="15"/>
        <v>5.4223324436224541E-3</v>
      </c>
      <c r="AC21" s="24" t="str">
        <f t="shared" si="16"/>
        <v>-</v>
      </c>
      <c r="AD21" s="19">
        <f t="shared" si="17"/>
        <v>-0.14285714285714285</v>
      </c>
      <c r="AE21" s="19">
        <f t="shared" si="18"/>
        <v>0</v>
      </c>
      <c r="AF21" s="19">
        <f t="shared" si="19"/>
        <v>0.66666666666666663</v>
      </c>
      <c r="AG21" s="19">
        <f t="shared" si="19"/>
        <v>-0.3</v>
      </c>
      <c r="AH21" s="19">
        <f t="shared" si="19"/>
        <v>0.5714285714285714</v>
      </c>
      <c r="AI21" s="19">
        <f t="shared" si="19"/>
        <v>1.0909090909090908</v>
      </c>
      <c r="AJ21" s="19">
        <f t="shared" si="19"/>
        <v>0.86956521739130432</v>
      </c>
      <c r="AK21" s="19">
        <f t="shared" si="19"/>
        <v>2.3720930232558142</v>
      </c>
      <c r="AL21" s="19">
        <f t="shared" si="19"/>
        <v>-1</v>
      </c>
      <c r="AM21" s="19" t="str">
        <f t="shared" si="19"/>
        <v>-</v>
      </c>
      <c r="AN21" s="19" t="str">
        <f t="shared" si="19"/>
        <v>-</v>
      </c>
    </row>
    <row r="22" spans="1:40" ht="15.75" x14ac:dyDescent="0.5">
      <c r="A22" s="15" t="s">
        <v>54</v>
      </c>
      <c r="B22" s="15">
        <f>_xlfn.XLOOKUP(A22,[1]Sheet2!$I:$I,[1]Sheet2!$L:$L,0,)</f>
        <v>0</v>
      </c>
      <c r="C22" s="16">
        <v>114</v>
      </c>
      <c r="D22" s="16">
        <v>71</v>
      </c>
      <c r="E22" s="16">
        <v>21</v>
      </c>
      <c r="F22" s="16">
        <v>2</v>
      </c>
      <c r="G22" s="16">
        <v>1</v>
      </c>
      <c r="H22" s="16">
        <v>1</v>
      </c>
      <c r="I22" s="16"/>
      <c r="J22" s="17"/>
      <c r="K22" s="17"/>
      <c r="L22" s="17"/>
      <c r="M22" s="17"/>
      <c r="N22" s="17"/>
      <c r="O22" s="17">
        <f t="shared" si="2"/>
        <v>210</v>
      </c>
      <c r="P22" s="18">
        <f t="shared" si="3"/>
        <v>1.5224358974358974E-2</v>
      </c>
      <c r="Q22" s="18">
        <f t="shared" si="4"/>
        <v>9.9789177793394232E-3</v>
      </c>
      <c r="R22" s="18">
        <f t="shared" si="5"/>
        <v>4.3877977434183032E-3</v>
      </c>
      <c r="S22" s="18">
        <f t="shared" si="6"/>
        <v>7.4710496824803888E-4</v>
      </c>
      <c r="T22" s="18">
        <f t="shared" si="7"/>
        <v>4.3975373790677223E-4</v>
      </c>
      <c r="U22" s="18">
        <f t="shared" si="8"/>
        <v>4.2087542087542086E-4</v>
      </c>
      <c r="V22" s="18">
        <f t="shared" si="9"/>
        <v>0</v>
      </c>
      <c r="W22" s="18">
        <f t="shared" si="10"/>
        <v>0</v>
      </c>
      <c r="X22" s="18">
        <f t="shared" si="11"/>
        <v>0</v>
      </c>
      <c r="Y22" s="18" t="str">
        <f t="shared" si="12"/>
        <v>-</v>
      </c>
      <c r="Z22" s="18" t="str">
        <f t="shared" si="13"/>
        <v>-</v>
      </c>
      <c r="AA22" s="18" t="str">
        <f t="shared" si="14"/>
        <v>-</v>
      </c>
      <c r="AB22" s="19">
        <f t="shared" si="15"/>
        <v>4.413526407599672E-3</v>
      </c>
      <c r="AC22" s="24" t="str">
        <f t="shared" si="16"/>
        <v>-</v>
      </c>
      <c r="AD22" s="19">
        <f t="shared" si="17"/>
        <v>-0.37719298245614036</v>
      </c>
      <c r="AE22" s="19">
        <f t="shared" si="18"/>
        <v>-0.70422535211267601</v>
      </c>
      <c r="AF22" s="19">
        <f t="shared" si="19"/>
        <v>-0.90476190476190477</v>
      </c>
      <c r="AG22" s="19">
        <f t="shared" si="19"/>
        <v>-0.5</v>
      </c>
      <c r="AH22" s="19">
        <f t="shared" si="19"/>
        <v>0</v>
      </c>
      <c r="AI22" s="19">
        <f t="shared" si="19"/>
        <v>-1</v>
      </c>
      <c r="AJ22" s="19" t="str">
        <f t="shared" si="19"/>
        <v>-</v>
      </c>
      <c r="AK22" s="19" t="str">
        <f t="shared" si="19"/>
        <v>-</v>
      </c>
      <c r="AL22" s="19" t="str">
        <f t="shared" si="19"/>
        <v>-</v>
      </c>
      <c r="AM22" s="19" t="str">
        <f t="shared" si="19"/>
        <v>-</v>
      </c>
      <c r="AN22" s="19" t="str">
        <f t="shared" si="19"/>
        <v>-</v>
      </c>
    </row>
    <row r="23" spans="1:40" ht="15.75" x14ac:dyDescent="0.5">
      <c r="A23" s="15" t="s">
        <v>55</v>
      </c>
      <c r="B23" s="15">
        <f>_xlfn.XLOOKUP(A23,[1]Sheet2!$I:$I,[1]Sheet2!$L:$L,0,)</f>
        <v>0</v>
      </c>
      <c r="C23" s="16">
        <v>71</v>
      </c>
      <c r="D23" s="16">
        <v>41</v>
      </c>
      <c r="E23" s="16">
        <v>30</v>
      </c>
      <c r="F23" s="16">
        <v>8</v>
      </c>
      <c r="G23" s="16">
        <v>13</v>
      </c>
      <c r="H23" s="16"/>
      <c r="I23" s="16"/>
      <c r="J23" s="17"/>
      <c r="K23" s="17"/>
      <c r="L23" s="17"/>
      <c r="M23" s="17"/>
      <c r="N23" s="17"/>
      <c r="O23" s="17">
        <f t="shared" si="2"/>
        <v>163</v>
      </c>
      <c r="P23" s="18">
        <f t="shared" si="3"/>
        <v>9.4818376068376061E-3</v>
      </c>
      <c r="Q23" s="18">
        <f t="shared" si="4"/>
        <v>5.7624736472241742E-3</v>
      </c>
      <c r="R23" s="18">
        <f t="shared" si="5"/>
        <v>6.2682824905975765E-3</v>
      </c>
      <c r="S23" s="18">
        <f t="shared" si="6"/>
        <v>2.9884198729921555E-3</v>
      </c>
      <c r="T23" s="18">
        <f t="shared" si="7"/>
        <v>5.7167985927880386E-3</v>
      </c>
      <c r="U23" s="18">
        <f t="shared" si="8"/>
        <v>0</v>
      </c>
      <c r="V23" s="18">
        <f t="shared" si="9"/>
        <v>0</v>
      </c>
      <c r="W23" s="18">
        <f t="shared" si="10"/>
        <v>0</v>
      </c>
      <c r="X23" s="18">
        <f t="shared" si="11"/>
        <v>0</v>
      </c>
      <c r="Y23" s="18" t="str">
        <f t="shared" si="12"/>
        <v>-</v>
      </c>
      <c r="Z23" s="18" t="str">
        <f t="shared" si="13"/>
        <v>-</v>
      </c>
      <c r="AA23" s="18" t="str">
        <f t="shared" si="14"/>
        <v>-</v>
      </c>
      <c r="AB23" s="19">
        <f t="shared" si="15"/>
        <v>3.4257371639940313E-3</v>
      </c>
      <c r="AC23" s="24" t="str">
        <f t="shared" si="16"/>
        <v>-</v>
      </c>
      <c r="AD23" s="19">
        <f t="shared" si="17"/>
        <v>-0.42253521126760563</v>
      </c>
      <c r="AE23" s="19">
        <f t="shared" si="18"/>
        <v>-0.26829268292682928</v>
      </c>
      <c r="AF23" s="19">
        <f t="shared" si="19"/>
        <v>-0.73333333333333328</v>
      </c>
      <c r="AG23" s="19">
        <f t="shared" si="19"/>
        <v>0.625</v>
      </c>
      <c r="AH23" s="19">
        <f t="shared" si="19"/>
        <v>-1</v>
      </c>
      <c r="AI23" s="19" t="str">
        <f t="shared" si="19"/>
        <v>-</v>
      </c>
      <c r="AJ23" s="19" t="str">
        <f t="shared" si="19"/>
        <v>-</v>
      </c>
      <c r="AK23" s="19" t="str">
        <f t="shared" si="19"/>
        <v>-</v>
      </c>
      <c r="AL23" s="19" t="str">
        <f t="shared" si="19"/>
        <v>-</v>
      </c>
      <c r="AM23" s="19" t="str">
        <f t="shared" si="19"/>
        <v>-</v>
      </c>
      <c r="AN23" s="19" t="str">
        <f t="shared" si="19"/>
        <v>-</v>
      </c>
    </row>
    <row r="24" spans="1:40" ht="15.75" x14ac:dyDescent="0.5">
      <c r="A24" s="15" t="s">
        <v>7</v>
      </c>
      <c r="B24" s="15"/>
      <c r="C24" s="16">
        <v>44</v>
      </c>
      <c r="D24" s="16">
        <v>30</v>
      </c>
      <c r="E24" s="16">
        <v>6</v>
      </c>
      <c r="F24" s="16">
        <v>8</v>
      </c>
      <c r="G24" s="16">
        <v>2</v>
      </c>
      <c r="H24" s="16"/>
      <c r="I24" s="16"/>
      <c r="J24" s="17"/>
      <c r="K24" s="17"/>
      <c r="L24" s="17"/>
      <c r="M24" s="17"/>
      <c r="N24" s="17"/>
      <c r="O24" s="17"/>
      <c r="P24" s="18">
        <f t="shared" si="3"/>
        <v>5.876068376068376E-3</v>
      </c>
      <c r="Q24" s="18">
        <f t="shared" si="4"/>
        <v>4.216444132115249E-3</v>
      </c>
      <c r="R24" s="18">
        <f t="shared" si="5"/>
        <v>1.2536564981195152E-3</v>
      </c>
      <c r="S24" s="18">
        <f t="shared" si="6"/>
        <v>2.9884198729921555E-3</v>
      </c>
      <c r="T24" s="18">
        <f t="shared" si="7"/>
        <v>8.7950747581354446E-4</v>
      </c>
      <c r="U24" s="18">
        <f t="shared" si="8"/>
        <v>0</v>
      </c>
      <c r="V24" s="18">
        <f t="shared" si="9"/>
        <v>0</v>
      </c>
      <c r="W24" s="18">
        <f t="shared" si="10"/>
        <v>0</v>
      </c>
      <c r="X24" s="18">
        <f t="shared" si="11"/>
        <v>0</v>
      </c>
      <c r="Y24" s="18" t="str">
        <f t="shared" si="12"/>
        <v>-</v>
      </c>
      <c r="Z24" s="18" t="str">
        <f t="shared" si="13"/>
        <v>-</v>
      </c>
      <c r="AA24" s="18" t="str">
        <f t="shared" si="14"/>
        <v>-</v>
      </c>
      <c r="AB24" s="19">
        <f t="shared" si="15"/>
        <v>0</v>
      </c>
      <c r="AC24" s="24" t="str">
        <f t="shared" si="16"/>
        <v>-</v>
      </c>
      <c r="AD24" s="19">
        <f t="shared" si="17"/>
        <v>-0.31818181818181818</v>
      </c>
      <c r="AE24" s="19">
        <f t="shared" si="18"/>
        <v>-0.8</v>
      </c>
      <c r="AF24" s="19">
        <f t="shared" si="19"/>
        <v>0.33333333333333331</v>
      </c>
      <c r="AG24" s="19">
        <f t="shared" si="19"/>
        <v>-0.75</v>
      </c>
      <c r="AH24" s="19">
        <f t="shared" si="19"/>
        <v>-1</v>
      </c>
      <c r="AI24" s="19" t="str">
        <f t="shared" si="19"/>
        <v>-</v>
      </c>
      <c r="AJ24" s="19" t="str">
        <f t="shared" si="19"/>
        <v>-</v>
      </c>
      <c r="AK24" s="19" t="str">
        <f t="shared" si="19"/>
        <v>-</v>
      </c>
      <c r="AL24" s="19" t="str">
        <f t="shared" si="19"/>
        <v>-</v>
      </c>
      <c r="AM24" s="19" t="str">
        <f t="shared" si="19"/>
        <v>-</v>
      </c>
      <c r="AN24" s="19" t="str">
        <f t="shared" si="19"/>
        <v>-</v>
      </c>
    </row>
    <row r="25" spans="1:40" ht="15.75" x14ac:dyDescent="0.5">
      <c r="A25" s="15" t="s">
        <v>19</v>
      </c>
      <c r="B25" s="15"/>
      <c r="C25" s="16">
        <v>2</v>
      </c>
      <c r="D25" s="16">
        <v>7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7">
        <v>0</v>
      </c>
      <c r="K25" s="17">
        <v>10</v>
      </c>
      <c r="L25" s="17"/>
      <c r="M25" s="17"/>
      <c r="N25" s="17"/>
      <c r="O25" s="17"/>
      <c r="P25" s="18">
        <f t="shared" si="3"/>
        <v>2.6709401709401712E-4</v>
      </c>
      <c r="Q25" s="18">
        <f t="shared" si="4"/>
        <v>9.8383696416022483E-4</v>
      </c>
      <c r="R25" s="18">
        <f t="shared" si="5"/>
        <v>2.0894274968658589E-4</v>
      </c>
      <c r="S25" s="18">
        <f t="shared" si="6"/>
        <v>3.7355248412401944E-4</v>
      </c>
      <c r="T25" s="18">
        <f t="shared" si="7"/>
        <v>0</v>
      </c>
      <c r="U25" s="18">
        <f t="shared" si="8"/>
        <v>0</v>
      </c>
      <c r="V25" s="18">
        <f t="shared" si="9"/>
        <v>0</v>
      </c>
      <c r="W25" s="18">
        <f t="shared" si="10"/>
        <v>0</v>
      </c>
      <c r="X25" s="18">
        <f t="shared" si="11"/>
        <v>9.2524056254626199E-4</v>
      </c>
      <c r="Y25" s="18" t="str">
        <f t="shared" si="12"/>
        <v>-</v>
      </c>
      <c r="Z25" s="18" t="str">
        <f t="shared" si="13"/>
        <v>-</v>
      </c>
      <c r="AA25" s="18" t="str">
        <f t="shared" si="14"/>
        <v>-</v>
      </c>
      <c r="AB25" s="19">
        <f t="shared" si="15"/>
        <v>0</v>
      </c>
      <c r="AC25" s="24" t="str">
        <f t="shared" si="16"/>
        <v>-</v>
      </c>
      <c r="AD25" s="19">
        <f t="shared" si="17"/>
        <v>2.5</v>
      </c>
      <c r="AE25" s="19">
        <f t="shared" si="18"/>
        <v>-0.8571428571428571</v>
      </c>
      <c r="AF25" s="19">
        <f t="shared" si="19"/>
        <v>0</v>
      </c>
      <c r="AG25" s="19">
        <f t="shared" si="19"/>
        <v>-1</v>
      </c>
      <c r="AH25" s="19" t="str">
        <f t="shared" si="19"/>
        <v>-</v>
      </c>
      <c r="AI25" s="19" t="str">
        <f t="shared" si="19"/>
        <v>-</v>
      </c>
      <c r="AJ25" s="19" t="str">
        <f t="shared" si="19"/>
        <v>-</v>
      </c>
      <c r="AK25" s="19" t="str">
        <f t="shared" si="19"/>
        <v>-</v>
      </c>
      <c r="AL25" s="19">
        <f t="shared" si="19"/>
        <v>-1</v>
      </c>
      <c r="AM25" s="19" t="str">
        <f t="shared" si="19"/>
        <v>-</v>
      </c>
      <c r="AN25" s="19" t="str">
        <f t="shared" si="19"/>
        <v>-</v>
      </c>
    </row>
    <row r="26" spans="1:40" ht="15.75" x14ac:dyDescent="0.5">
      <c r="A26" s="15" t="s">
        <v>64</v>
      </c>
      <c r="B26" s="15"/>
      <c r="C26" s="16"/>
      <c r="D26" s="16"/>
      <c r="E26" s="16"/>
      <c r="F26" s="16"/>
      <c r="G26" s="16"/>
      <c r="H26" s="16"/>
      <c r="I26" s="16"/>
      <c r="J26" s="17"/>
      <c r="K26" s="17">
        <v>13</v>
      </c>
      <c r="L26" s="17"/>
      <c r="M26" s="17"/>
      <c r="N26" s="17"/>
      <c r="O26" s="17"/>
      <c r="P26" s="18">
        <f t="shared" si="3"/>
        <v>0</v>
      </c>
      <c r="Q26" s="18">
        <f t="shared" si="4"/>
        <v>0</v>
      </c>
      <c r="R26" s="18">
        <f t="shared" si="5"/>
        <v>0</v>
      </c>
      <c r="S26" s="18">
        <f t="shared" si="6"/>
        <v>0</v>
      </c>
      <c r="T26" s="18">
        <f t="shared" si="7"/>
        <v>0</v>
      </c>
      <c r="U26" s="18">
        <f t="shared" si="8"/>
        <v>0</v>
      </c>
      <c r="V26" s="18">
        <f t="shared" si="9"/>
        <v>0</v>
      </c>
      <c r="W26" s="18">
        <f t="shared" si="10"/>
        <v>0</v>
      </c>
      <c r="X26" s="18">
        <f t="shared" si="11"/>
        <v>1.2028127313101406E-3</v>
      </c>
      <c r="Y26" s="18" t="str">
        <f t="shared" si="12"/>
        <v>-</v>
      </c>
      <c r="Z26" s="18" t="str">
        <f t="shared" si="13"/>
        <v>-</v>
      </c>
      <c r="AA26" s="18" t="str">
        <f t="shared" si="14"/>
        <v>-</v>
      </c>
      <c r="AB26" s="19">
        <f t="shared" si="15"/>
        <v>0</v>
      </c>
      <c r="AC26" s="24" t="str">
        <f t="shared" si="16"/>
        <v>-</v>
      </c>
      <c r="AD26" s="19" t="str">
        <f t="shared" si="17"/>
        <v>-</v>
      </c>
      <c r="AE26" s="19" t="str">
        <f t="shared" si="18"/>
        <v>-</v>
      </c>
      <c r="AF26" s="19" t="str">
        <f t="shared" si="19"/>
        <v>-</v>
      </c>
      <c r="AG26" s="19" t="str">
        <f t="shared" si="19"/>
        <v>-</v>
      </c>
      <c r="AH26" s="19" t="str">
        <f t="shared" si="19"/>
        <v>-</v>
      </c>
      <c r="AI26" s="19" t="str">
        <f t="shared" si="19"/>
        <v>-</v>
      </c>
      <c r="AJ26" s="19" t="str">
        <f t="shared" si="19"/>
        <v>-</v>
      </c>
      <c r="AK26" s="19" t="str">
        <f t="shared" si="19"/>
        <v>-</v>
      </c>
      <c r="AL26" s="19">
        <f t="shared" si="19"/>
        <v>-1</v>
      </c>
      <c r="AM26" s="19" t="str">
        <f t="shared" si="19"/>
        <v>-</v>
      </c>
      <c r="AN26" s="19" t="str">
        <f t="shared" si="19"/>
        <v>-</v>
      </c>
    </row>
    <row r="27" spans="1:40" ht="15.75" x14ac:dyDescent="0.5">
      <c r="A27" s="20" t="s">
        <v>21</v>
      </c>
      <c r="B27" s="20"/>
      <c r="C27" s="21">
        <f>SUM(C3:C26)</f>
        <v>7488</v>
      </c>
      <c r="D27" s="21">
        <f t="shared" ref="D27:N27" si="20">SUM(D3:D26)</f>
        <v>7115</v>
      </c>
      <c r="E27" s="21">
        <f t="shared" si="20"/>
        <v>4786</v>
      </c>
      <c r="F27" s="21">
        <f t="shared" si="20"/>
        <v>2677</v>
      </c>
      <c r="G27" s="21">
        <f t="shared" si="20"/>
        <v>2274</v>
      </c>
      <c r="H27" s="21">
        <f t="shared" si="20"/>
        <v>2376</v>
      </c>
      <c r="I27" s="21">
        <f t="shared" si="20"/>
        <v>3743</v>
      </c>
      <c r="J27" s="21">
        <f t="shared" si="20"/>
        <v>6438</v>
      </c>
      <c r="K27" s="21">
        <f t="shared" si="20"/>
        <v>10808</v>
      </c>
      <c r="L27" s="21">
        <f t="shared" si="20"/>
        <v>0</v>
      </c>
      <c r="M27" s="21">
        <f t="shared" si="20"/>
        <v>0</v>
      </c>
      <c r="N27" s="21">
        <f t="shared" si="20"/>
        <v>0</v>
      </c>
      <c r="O27" s="22">
        <f>SUM(O3:O26)</f>
        <v>47581</v>
      </c>
      <c r="P27" s="23">
        <f>SUM(P3:P26)</f>
        <v>0.99999999999999989</v>
      </c>
      <c r="Q27" s="23">
        <f t="shared" ref="Q27:Z27" si="21">SUM(Q3:Q26)</f>
        <v>0.99999999999999989</v>
      </c>
      <c r="R27" s="23">
        <f>SUM(R3:R26)</f>
        <v>0.99999999999999978</v>
      </c>
      <c r="S27" s="23">
        <f t="shared" si="21"/>
        <v>1</v>
      </c>
      <c r="T27" s="23">
        <f t="shared" si="21"/>
        <v>1</v>
      </c>
      <c r="U27" s="23">
        <f t="shared" si="21"/>
        <v>1</v>
      </c>
      <c r="V27" s="23">
        <f t="shared" si="21"/>
        <v>1.0000000000000002</v>
      </c>
      <c r="W27" s="23">
        <f t="shared" si="21"/>
        <v>0.99999999999999989</v>
      </c>
      <c r="X27" s="23">
        <f t="shared" si="21"/>
        <v>1</v>
      </c>
      <c r="Y27" s="23">
        <f t="shared" si="21"/>
        <v>0</v>
      </c>
      <c r="Z27" s="23">
        <f t="shared" si="21"/>
        <v>0</v>
      </c>
      <c r="AA27" s="23">
        <f>SUM(AA3:AA26)</f>
        <v>0</v>
      </c>
      <c r="AB27" s="23">
        <f>SUM(AB3:AB26)</f>
        <v>0.99999999999999989</v>
      </c>
      <c r="AC27" s="24" t="str">
        <f>IFERROR((C27-A27)/A27,"-")</f>
        <v>-</v>
      </c>
      <c r="AD27" s="19">
        <f>(D27-C27)/C27</f>
        <v>-4.9813034188034191E-2</v>
      </c>
      <c r="AE27" s="19">
        <f t="shared" ref="AE27:AG27" si="22">(E27-D27)/D27</f>
        <v>-0.32733661278988052</v>
      </c>
      <c r="AF27" s="19">
        <f t="shared" si="22"/>
        <v>-0.44066025908900963</v>
      </c>
      <c r="AG27" s="19">
        <f t="shared" si="22"/>
        <v>-0.15054165110197984</v>
      </c>
      <c r="AH27" s="24">
        <f t="shared" ref="AH27:AN27" si="23">IFERROR((H27-G27)/G27,"-")</f>
        <v>4.4854881266490766E-2</v>
      </c>
      <c r="AI27" s="24">
        <f t="shared" si="23"/>
        <v>0.57533670033670037</v>
      </c>
      <c r="AJ27" s="24">
        <f>IFERROR((J27-I27)/I27,"-")</f>
        <v>0.72001068661501466</v>
      </c>
      <c r="AK27" s="24">
        <f t="shared" si="23"/>
        <v>0.67878223050636843</v>
      </c>
      <c r="AL27" s="24">
        <f t="shared" si="23"/>
        <v>-1</v>
      </c>
      <c r="AM27" s="24" t="str">
        <f t="shared" si="23"/>
        <v>-</v>
      </c>
      <c r="AN27" s="24" t="str">
        <f t="shared" si="23"/>
        <v>-</v>
      </c>
    </row>
    <row r="30" spans="1:40" x14ac:dyDescent="0.45">
      <c r="M30" s="66"/>
    </row>
  </sheetData>
  <sortState xmlns:xlrd2="http://schemas.microsoft.com/office/spreadsheetml/2017/richdata2" ref="A3:O23">
    <sortCondition descending="1" ref="O3:O23"/>
  </sortState>
  <phoneticPr fontId="2" type="noConversion"/>
  <conditionalFormatting sqref="P3:AA2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27 AC3:AN3 AH4:AN27 AD4:AN26">
    <cfRule type="iconSet" priority="4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AD27:AG27">
    <cfRule type="iconSet" priority="24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85CE-B5CF-4EAB-8FC2-4A667C4980DC}">
  <dimension ref="A2:P30"/>
  <sheetViews>
    <sheetView zoomScale="80" zoomScaleNormal="80" workbookViewId="0">
      <selection activeCell="T21" sqref="T21"/>
    </sheetView>
  </sheetViews>
  <sheetFormatPr defaultColWidth="10.6640625" defaultRowHeight="14.25" x14ac:dyDescent="0.45"/>
  <cols>
    <col min="1" max="1" width="16" bestFit="1" customWidth="1"/>
    <col min="2" max="9" width="6.53125" bestFit="1" customWidth="1"/>
    <col min="10" max="10" width="7.86328125" bestFit="1" customWidth="1"/>
    <col min="11" max="12" width="6.86328125" bestFit="1" customWidth="1"/>
    <col min="13" max="13" width="6.53125" bestFit="1" customWidth="1"/>
    <col min="14" max="14" width="13.86328125" bestFit="1" customWidth="1"/>
    <col min="15" max="15" width="15.86328125" bestFit="1" customWidth="1"/>
    <col min="16" max="16" width="33.796875" bestFit="1" customWidth="1"/>
  </cols>
  <sheetData>
    <row r="2" spans="1:16" x14ac:dyDescent="0.45">
      <c r="A2" s="87"/>
      <c r="B2" s="88" t="s">
        <v>92</v>
      </c>
      <c r="C2" s="88"/>
      <c r="D2" s="88"/>
      <c r="E2" s="88"/>
      <c r="F2" s="88"/>
      <c r="G2" s="88"/>
      <c r="H2" s="88"/>
      <c r="I2" s="88"/>
      <c r="J2" s="88"/>
      <c r="K2" s="89" t="s">
        <v>93</v>
      </c>
      <c r="L2" s="90"/>
      <c r="M2" s="90"/>
      <c r="N2" s="91"/>
      <c r="O2" s="91"/>
      <c r="P2" s="92"/>
    </row>
    <row r="3" spans="1:16" x14ac:dyDescent="0.45">
      <c r="A3" s="93" t="s">
        <v>94</v>
      </c>
      <c r="B3" s="94">
        <v>2026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  <c r="O3" s="96"/>
      <c r="P3" s="96"/>
    </row>
    <row r="4" spans="1:16" x14ac:dyDescent="0.45">
      <c r="A4" s="97"/>
      <c r="B4" s="98" t="s">
        <v>95</v>
      </c>
      <c r="C4" s="98" t="s">
        <v>96</v>
      </c>
      <c r="D4" s="98" t="s">
        <v>97</v>
      </c>
      <c r="E4" s="98" t="s">
        <v>98</v>
      </c>
      <c r="F4" s="98" t="s">
        <v>99</v>
      </c>
      <c r="G4" s="98" t="s">
        <v>100</v>
      </c>
      <c r="H4" s="98" t="s">
        <v>101</v>
      </c>
      <c r="I4" s="98" t="s">
        <v>102</v>
      </c>
      <c r="J4" s="98" t="s">
        <v>103</v>
      </c>
      <c r="K4" s="98" t="s">
        <v>3</v>
      </c>
      <c r="L4" s="98" t="s">
        <v>4</v>
      </c>
      <c r="M4" s="98" t="s">
        <v>104</v>
      </c>
      <c r="N4" s="99" t="s">
        <v>105</v>
      </c>
      <c r="O4" s="100" t="s">
        <v>106</v>
      </c>
      <c r="P4" s="101" t="s">
        <v>107</v>
      </c>
    </row>
    <row r="5" spans="1:16" x14ac:dyDescent="0.45">
      <c r="A5" s="25" t="s">
        <v>108</v>
      </c>
      <c r="B5" s="102">
        <v>1</v>
      </c>
      <c r="C5" s="102">
        <v>2</v>
      </c>
      <c r="D5" s="102">
        <v>3</v>
      </c>
      <c r="E5" s="102">
        <v>4</v>
      </c>
      <c r="F5" s="102">
        <v>5</v>
      </c>
      <c r="G5" s="102">
        <v>6</v>
      </c>
      <c r="H5" s="102">
        <v>7</v>
      </c>
      <c r="I5" s="102">
        <v>8</v>
      </c>
      <c r="J5" s="102">
        <v>9</v>
      </c>
      <c r="K5" s="102">
        <v>10</v>
      </c>
      <c r="L5" s="102">
        <v>11</v>
      </c>
      <c r="M5" s="102">
        <v>12</v>
      </c>
      <c r="N5" s="25"/>
      <c r="O5" s="103"/>
      <c r="P5" s="25"/>
    </row>
    <row r="6" spans="1:16" x14ac:dyDescent="0.45">
      <c r="A6" s="104" t="s">
        <v>5</v>
      </c>
      <c r="B6" s="57">
        <v>1991</v>
      </c>
      <c r="C6" s="57">
        <v>1864</v>
      </c>
      <c r="D6" s="57">
        <v>1303</v>
      </c>
      <c r="E6" s="57">
        <v>846</v>
      </c>
      <c r="F6" s="57">
        <v>648</v>
      </c>
      <c r="G6" s="57">
        <v>690</v>
      </c>
      <c r="H6" s="57">
        <v>880</v>
      </c>
      <c r="I6" s="57">
        <v>1365</v>
      </c>
      <c r="J6" s="57">
        <v>2038</v>
      </c>
      <c r="K6" s="105">
        <v>1999.4833333333333</v>
      </c>
      <c r="L6" s="105">
        <v>2133.3811111111113</v>
      </c>
      <c r="M6" s="105">
        <v>2600.608444277746</v>
      </c>
      <c r="N6" s="57">
        <v>11625</v>
      </c>
      <c r="O6" s="106">
        <f>SUM(B6:M6)</f>
        <v>18358.47288872219</v>
      </c>
      <c r="P6" s="107">
        <v>0.24368514830730501</v>
      </c>
    </row>
    <row r="7" spans="1:16" x14ac:dyDescent="0.45">
      <c r="A7" s="104" t="s">
        <v>9</v>
      </c>
      <c r="B7" s="57">
        <v>1567</v>
      </c>
      <c r="C7" s="57">
        <v>1250</v>
      </c>
      <c r="D7" s="57">
        <v>785</v>
      </c>
      <c r="E7" s="57">
        <v>399</v>
      </c>
      <c r="F7" s="57">
        <v>379</v>
      </c>
      <c r="G7" s="57">
        <v>394</v>
      </c>
      <c r="H7" s="57">
        <v>630</v>
      </c>
      <c r="I7" s="57">
        <v>1376</v>
      </c>
      <c r="J7" s="57">
        <v>1860</v>
      </c>
      <c r="K7" s="105">
        <v>1880.5833333333333</v>
      </c>
      <c r="L7" s="105">
        <v>2145.661111111111</v>
      </c>
      <c r="M7" s="105">
        <v>2833.9112782637126</v>
      </c>
      <c r="N7" s="57">
        <v>8640</v>
      </c>
      <c r="O7" s="106">
        <f t="shared" ref="O7:O30" si="0">SUM(B7:M7)</f>
        <v>15500.155722708158</v>
      </c>
      <c r="P7" s="107">
        <v>0.18111309087097788</v>
      </c>
    </row>
    <row r="8" spans="1:16" x14ac:dyDescent="0.45">
      <c r="A8" s="104" t="s">
        <v>12</v>
      </c>
      <c r="B8" s="57">
        <v>571</v>
      </c>
      <c r="C8" s="57">
        <v>763</v>
      </c>
      <c r="D8" s="57">
        <v>468</v>
      </c>
      <c r="E8" s="57">
        <v>285</v>
      </c>
      <c r="F8" s="57">
        <v>337</v>
      </c>
      <c r="G8" s="57">
        <v>243</v>
      </c>
      <c r="H8" s="57">
        <v>507</v>
      </c>
      <c r="I8" s="57">
        <v>913</v>
      </c>
      <c r="J8" s="57">
        <v>1305</v>
      </c>
      <c r="K8" s="105">
        <v>1362.0333333333333</v>
      </c>
      <c r="L8" s="105">
        <v>1573.1377777777777</v>
      </c>
      <c r="M8" s="105">
        <v>2081.9905366972062</v>
      </c>
      <c r="N8" s="57">
        <v>5392</v>
      </c>
      <c r="O8" s="106">
        <f t="shared" si="0"/>
        <v>10409.161647808316</v>
      </c>
      <c r="P8" s="107">
        <v>0.11302798448799917</v>
      </c>
    </row>
    <row r="9" spans="1:16" x14ac:dyDescent="0.45">
      <c r="A9" s="104" t="s">
        <v>6</v>
      </c>
      <c r="B9" s="57">
        <v>771</v>
      </c>
      <c r="C9" s="57">
        <v>718</v>
      </c>
      <c r="D9" s="57">
        <v>462</v>
      </c>
      <c r="E9" s="57">
        <v>213</v>
      </c>
      <c r="F9" s="57">
        <v>265</v>
      </c>
      <c r="G9" s="57">
        <v>314</v>
      </c>
      <c r="H9" s="57">
        <v>464</v>
      </c>
      <c r="I9" s="57">
        <v>673</v>
      </c>
      <c r="J9" s="57">
        <v>1167</v>
      </c>
      <c r="K9" s="105">
        <v>1192.9000000000001</v>
      </c>
      <c r="L9" s="105">
        <v>1377.7818387711332</v>
      </c>
      <c r="M9" s="105">
        <v>1812.1660706774633</v>
      </c>
      <c r="N9" s="57">
        <v>5047</v>
      </c>
      <c r="O9" s="106">
        <f t="shared" si="0"/>
        <v>9429.8479094485956</v>
      </c>
      <c r="P9" s="107">
        <v>0.1057960381511372</v>
      </c>
    </row>
    <row r="10" spans="1:16" x14ac:dyDescent="0.45">
      <c r="A10" s="104" t="s">
        <v>16</v>
      </c>
      <c r="B10" s="57">
        <v>517</v>
      </c>
      <c r="C10" s="57">
        <v>537</v>
      </c>
      <c r="D10" s="57">
        <v>389</v>
      </c>
      <c r="E10" s="57">
        <v>200</v>
      </c>
      <c r="F10" s="57">
        <v>108</v>
      </c>
      <c r="G10" s="57">
        <v>87</v>
      </c>
      <c r="H10" s="57">
        <v>314</v>
      </c>
      <c r="I10" s="57">
        <v>306</v>
      </c>
      <c r="J10" s="57">
        <v>514</v>
      </c>
      <c r="K10" s="105">
        <v>497.8666666666665</v>
      </c>
      <c r="L10" s="105">
        <v>519.49461416324584</v>
      </c>
      <c r="M10" s="105">
        <v>643.4845182486871</v>
      </c>
      <c r="N10" s="57">
        <v>2972</v>
      </c>
      <c r="O10" s="106">
        <f t="shared" si="0"/>
        <v>4632.8457990785992</v>
      </c>
      <c r="P10" s="107">
        <v>6.2299549313489154E-2</v>
      </c>
    </row>
    <row r="11" spans="1:16" x14ac:dyDescent="0.45">
      <c r="A11" s="104" t="s">
        <v>52</v>
      </c>
      <c r="B11" s="57">
        <v>324</v>
      </c>
      <c r="C11" s="57">
        <v>389</v>
      </c>
      <c r="D11" s="57">
        <v>370</v>
      </c>
      <c r="E11" s="57">
        <v>104</v>
      </c>
      <c r="F11" s="57">
        <v>95</v>
      </c>
      <c r="G11" s="57">
        <v>102</v>
      </c>
      <c r="H11" s="57">
        <v>168</v>
      </c>
      <c r="I11" s="57">
        <v>273</v>
      </c>
      <c r="J11" s="57">
        <v>565</v>
      </c>
      <c r="K11" s="105">
        <v>568.49999999999989</v>
      </c>
      <c r="L11" s="105">
        <v>625.31167543231891</v>
      </c>
      <c r="M11" s="105">
        <v>801.37759521248915</v>
      </c>
      <c r="N11" s="57">
        <v>2390</v>
      </c>
      <c r="O11" s="106">
        <f t="shared" si="0"/>
        <v>4385.1892706448079</v>
      </c>
      <c r="P11" s="107">
        <v>5.0099570275652448E-2</v>
      </c>
    </row>
    <row r="12" spans="1:16" x14ac:dyDescent="0.45">
      <c r="A12" s="104" t="s">
        <v>53</v>
      </c>
      <c r="B12" s="57">
        <v>234</v>
      </c>
      <c r="C12" s="57">
        <v>203</v>
      </c>
      <c r="D12" s="57">
        <v>168</v>
      </c>
      <c r="E12" s="57">
        <v>121</v>
      </c>
      <c r="F12" s="57">
        <v>129</v>
      </c>
      <c r="G12" s="57">
        <v>154</v>
      </c>
      <c r="H12" s="57">
        <v>206</v>
      </c>
      <c r="I12" s="57">
        <v>295</v>
      </c>
      <c r="J12" s="57">
        <v>473</v>
      </c>
      <c r="K12" s="105">
        <v>495.34999999999997</v>
      </c>
      <c r="L12" s="105">
        <v>578.99666666666656</v>
      </c>
      <c r="M12" s="105">
        <v>756.43965626376689</v>
      </c>
      <c r="N12" s="57">
        <v>1983</v>
      </c>
      <c r="O12" s="106">
        <f t="shared" si="0"/>
        <v>3813.786322930433</v>
      </c>
      <c r="P12" s="107">
        <v>4.1567969814484858E-2</v>
      </c>
    </row>
    <row r="13" spans="1:16" x14ac:dyDescent="0.45">
      <c r="A13" s="104" t="s">
        <v>11</v>
      </c>
      <c r="B13" s="57">
        <v>431</v>
      </c>
      <c r="C13" s="57">
        <v>298</v>
      </c>
      <c r="D13" s="57">
        <v>253</v>
      </c>
      <c r="E13" s="57">
        <v>149</v>
      </c>
      <c r="F13" s="57">
        <v>70</v>
      </c>
      <c r="G13" s="57">
        <v>119</v>
      </c>
      <c r="H13" s="57">
        <v>109</v>
      </c>
      <c r="I13" s="57">
        <v>121</v>
      </c>
      <c r="J13" s="57">
        <v>236</v>
      </c>
      <c r="K13" s="105">
        <v>208.84999999999997</v>
      </c>
      <c r="L13" s="105">
        <v>195.3910361902584</v>
      </c>
      <c r="M13" s="105">
        <v>211.25534643717276</v>
      </c>
      <c r="N13" s="57">
        <v>1786</v>
      </c>
      <c r="O13" s="106">
        <f t="shared" si="0"/>
        <v>2401.4963826274311</v>
      </c>
      <c r="P13" s="107">
        <v>3.7438423645320199E-2</v>
      </c>
    </row>
    <row r="14" spans="1:16" x14ac:dyDescent="0.45">
      <c r="A14" s="104" t="s">
        <v>10</v>
      </c>
      <c r="B14" s="57">
        <v>336</v>
      </c>
      <c r="C14" s="57">
        <v>377</v>
      </c>
      <c r="D14" s="57">
        <v>141</v>
      </c>
      <c r="E14" s="57">
        <v>140</v>
      </c>
      <c r="F14" s="57">
        <v>35</v>
      </c>
      <c r="G14" s="57">
        <v>27</v>
      </c>
      <c r="H14" s="57">
        <v>50</v>
      </c>
      <c r="I14" s="57">
        <v>127</v>
      </c>
      <c r="J14" s="57">
        <v>314</v>
      </c>
      <c r="K14" s="105">
        <v>295.11666666666673</v>
      </c>
      <c r="L14" s="105">
        <v>301.16067933236621</v>
      </c>
      <c r="M14" s="105">
        <v>391.77250015995946</v>
      </c>
      <c r="N14" s="57">
        <v>1547</v>
      </c>
      <c r="O14" s="106">
        <f t="shared" si="0"/>
        <v>2535.0498461589923</v>
      </c>
      <c r="P14" s="107">
        <v>3.2428466617754954E-2</v>
      </c>
    </row>
    <row r="15" spans="1:16" x14ac:dyDescent="0.45">
      <c r="A15" s="104" t="s">
        <v>14</v>
      </c>
      <c r="B15" s="57">
        <v>212</v>
      </c>
      <c r="C15" s="57">
        <v>200</v>
      </c>
      <c r="D15" s="57">
        <v>165</v>
      </c>
      <c r="E15" s="57">
        <v>84</v>
      </c>
      <c r="F15" s="57">
        <v>47</v>
      </c>
      <c r="G15" s="57">
        <v>64</v>
      </c>
      <c r="H15" s="57">
        <v>73</v>
      </c>
      <c r="I15" s="57">
        <v>109</v>
      </c>
      <c r="J15" s="57">
        <v>214</v>
      </c>
      <c r="K15" s="105">
        <v>206.18333333333331</v>
      </c>
      <c r="L15" s="105">
        <v>214.44111111111107</v>
      </c>
      <c r="M15" s="105">
        <v>262.24063907028636</v>
      </c>
      <c r="N15" s="57">
        <v>1168</v>
      </c>
      <c r="O15" s="106">
        <f t="shared" si="0"/>
        <v>1850.8650835147307</v>
      </c>
      <c r="P15" s="107">
        <v>2.4483806728854418E-2</v>
      </c>
    </row>
    <row r="16" spans="1:16" x14ac:dyDescent="0.45">
      <c r="A16" s="104" t="s">
        <v>8</v>
      </c>
      <c r="B16" s="57">
        <v>107</v>
      </c>
      <c r="C16" s="57">
        <v>133</v>
      </c>
      <c r="D16" s="57">
        <v>99</v>
      </c>
      <c r="E16" s="57">
        <v>38</v>
      </c>
      <c r="F16" s="57">
        <v>61</v>
      </c>
      <c r="G16" s="57">
        <v>51</v>
      </c>
      <c r="H16" s="57">
        <v>103</v>
      </c>
      <c r="I16" s="57">
        <v>179</v>
      </c>
      <c r="J16" s="57">
        <v>330</v>
      </c>
      <c r="K16" s="105">
        <v>347.51666666666659</v>
      </c>
      <c r="L16" s="105">
        <v>416.58797602361193</v>
      </c>
      <c r="M16" s="105">
        <v>557.66911561682764</v>
      </c>
      <c r="N16" s="57">
        <v>1101</v>
      </c>
      <c r="O16" s="106">
        <f t="shared" si="0"/>
        <v>2422.7737583071062</v>
      </c>
      <c r="P16" s="107">
        <v>2.3079341788072531E-2</v>
      </c>
    </row>
    <row r="17" spans="1:16" x14ac:dyDescent="0.45">
      <c r="A17" s="104" t="s">
        <v>62</v>
      </c>
      <c r="B17" s="57"/>
      <c r="C17" s="57"/>
      <c r="D17" s="57"/>
      <c r="E17" s="57"/>
      <c r="F17" s="57"/>
      <c r="G17" s="57"/>
      <c r="H17" s="57">
        <v>38</v>
      </c>
      <c r="I17" s="57">
        <v>210</v>
      </c>
      <c r="J17" s="57">
        <v>375</v>
      </c>
      <c r="K17" s="105">
        <v>544.40439649999996</v>
      </c>
      <c r="L17" s="105">
        <v>881.69894760832517</v>
      </c>
      <c r="M17" s="105">
        <v>1448.4688267071597</v>
      </c>
      <c r="N17" s="57">
        <v>623</v>
      </c>
      <c r="O17" s="106">
        <f t="shared" si="0"/>
        <v>3497.5721708154852</v>
      </c>
      <c r="P17" s="107">
        <v>1.3059427732942039E-2</v>
      </c>
    </row>
    <row r="18" spans="1:16" x14ac:dyDescent="0.45">
      <c r="A18" s="104" t="s">
        <v>63</v>
      </c>
      <c r="B18" s="57"/>
      <c r="C18" s="57"/>
      <c r="D18" s="57"/>
      <c r="E18" s="57"/>
      <c r="F18" s="57"/>
      <c r="G18" s="57"/>
      <c r="H18" s="57">
        <v>44</v>
      </c>
      <c r="I18" s="57">
        <v>210</v>
      </c>
      <c r="J18" s="57">
        <v>364</v>
      </c>
      <c r="K18" s="105">
        <v>525.5503940000001</v>
      </c>
      <c r="L18" s="105">
        <v>846.05533875712922</v>
      </c>
      <c r="M18" s="105">
        <v>1384.0642639818411</v>
      </c>
      <c r="N18" s="57">
        <v>618</v>
      </c>
      <c r="O18" s="106">
        <f t="shared" si="0"/>
        <v>3373.6699967389704</v>
      </c>
      <c r="P18" s="107">
        <v>1.2954616916465779E-2</v>
      </c>
    </row>
    <row r="19" spans="1:16" x14ac:dyDescent="0.45">
      <c r="A19" s="104" t="s">
        <v>15</v>
      </c>
      <c r="B19" s="57">
        <v>60</v>
      </c>
      <c r="C19" s="57">
        <v>67</v>
      </c>
      <c r="D19" s="57">
        <v>37</v>
      </c>
      <c r="E19" s="57">
        <v>27</v>
      </c>
      <c r="F19" s="57">
        <v>34</v>
      </c>
      <c r="G19" s="57">
        <v>48</v>
      </c>
      <c r="H19" s="57">
        <v>51</v>
      </c>
      <c r="I19" s="57">
        <v>110</v>
      </c>
      <c r="J19" s="57">
        <v>98</v>
      </c>
      <c r="K19" s="105">
        <v>104.71178306332786</v>
      </c>
      <c r="L19" s="105">
        <v>122.21542263392706</v>
      </c>
      <c r="M19" s="105">
        <v>160.02126203587241</v>
      </c>
      <c r="N19" s="57">
        <v>532</v>
      </c>
      <c r="O19" s="106">
        <f t="shared" si="0"/>
        <v>918.94846773312736</v>
      </c>
      <c r="P19" s="107">
        <v>1.1151870873074102E-2</v>
      </c>
    </row>
    <row r="20" spans="1:16" x14ac:dyDescent="0.45">
      <c r="A20" s="104" t="s">
        <v>40</v>
      </c>
      <c r="B20" s="57">
        <v>36</v>
      </c>
      <c r="C20" s="57">
        <v>24</v>
      </c>
      <c r="D20" s="57">
        <v>5</v>
      </c>
      <c r="E20" s="57">
        <v>8</v>
      </c>
      <c r="F20" s="57">
        <v>0</v>
      </c>
      <c r="G20" s="57">
        <v>3</v>
      </c>
      <c r="H20" s="57">
        <v>0</v>
      </c>
      <c r="I20" s="57">
        <v>0</v>
      </c>
      <c r="J20" s="57">
        <v>378</v>
      </c>
      <c r="K20" s="105">
        <v>177.84269934911327</v>
      </c>
      <c r="L20" s="105">
        <v>251.9058293598774</v>
      </c>
      <c r="M20" s="105">
        <v>371.85295502283498</v>
      </c>
      <c r="N20" s="57">
        <v>454</v>
      </c>
      <c r="O20" s="106">
        <f t="shared" si="0"/>
        <v>1255.6014837318257</v>
      </c>
      <c r="P20" s="107">
        <v>9.516822136044439E-3</v>
      </c>
    </row>
    <row r="21" spans="1:16" x14ac:dyDescent="0.45">
      <c r="A21" s="104" t="s">
        <v>18</v>
      </c>
      <c r="B21" s="57">
        <v>39</v>
      </c>
      <c r="C21" s="57">
        <v>76</v>
      </c>
      <c r="D21" s="57">
        <v>26</v>
      </c>
      <c r="E21" s="57">
        <v>9</v>
      </c>
      <c r="F21" s="57">
        <v>9</v>
      </c>
      <c r="G21" s="57">
        <v>25</v>
      </c>
      <c r="H21" s="57">
        <v>36</v>
      </c>
      <c r="I21" s="57">
        <v>41</v>
      </c>
      <c r="J21" s="57">
        <v>152</v>
      </c>
      <c r="K21" s="105">
        <v>147.98225244638616</v>
      </c>
      <c r="L21" s="105">
        <v>173.83537343018727</v>
      </c>
      <c r="M21" s="105">
        <v>238.52595480309338</v>
      </c>
      <c r="N21" s="57">
        <v>413</v>
      </c>
      <c r="O21" s="106">
        <f t="shared" si="0"/>
        <v>973.34358067966673</v>
      </c>
      <c r="P21" s="107">
        <v>8.6573734409391041E-3</v>
      </c>
    </row>
    <row r="22" spans="1:16" x14ac:dyDescent="0.45">
      <c r="A22" s="104" t="s">
        <v>56</v>
      </c>
      <c r="B22" s="57">
        <v>12</v>
      </c>
      <c r="C22" s="57">
        <v>20</v>
      </c>
      <c r="D22" s="57">
        <v>27</v>
      </c>
      <c r="E22" s="57">
        <v>10</v>
      </c>
      <c r="F22" s="57">
        <v>14</v>
      </c>
      <c r="G22" s="57">
        <v>23</v>
      </c>
      <c r="H22" s="57">
        <v>23</v>
      </c>
      <c r="I22" s="57">
        <v>46</v>
      </c>
      <c r="J22" s="57">
        <v>193</v>
      </c>
      <c r="K22" s="105">
        <v>206.44999999999996</v>
      </c>
      <c r="L22" s="105">
        <v>250.24663533710054</v>
      </c>
      <c r="M22" s="105">
        <v>342.1099512121321</v>
      </c>
      <c r="N22" s="57">
        <v>368</v>
      </c>
      <c r="O22" s="106">
        <f t="shared" si="0"/>
        <v>1166.8065865492326</v>
      </c>
      <c r="P22" s="107">
        <v>7.7140760926527616E-3</v>
      </c>
    </row>
    <row r="23" spans="1:16" x14ac:dyDescent="0.45">
      <c r="A23" s="104" t="s">
        <v>17</v>
      </c>
      <c r="B23" s="57">
        <v>42</v>
      </c>
      <c r="C23" s="57">
        <v>41</v>
      </c>
      <c r="D23" s="57">
        <v>24</v>
      </c>
      <c r="E23" s="57">
        <v>15</v>
      </c>
      <c r="F23" s="57">
        <v>20</v>
      </c>
      <c r="G23" s="57">
        <v>20</v>
      </c>
      <c r="H23" s="57">
        <v>24</v>
      </c>
      <c r="I23" s="57">
        <v>41</v>
      </c>
      <c r="J23" s="57">
        <v>64</v>
      </c>
      <c r="K23" s="105">
        <v>65.55</v>
      </c>
      <c r="L23" s="105">
        <v>75.267959903731267</v>
      </c>
      <c r="M23" s="105">
        <v>98.366888785891291</v>
      </c>
      <c r="N23" s="57">
        <v>291</v>
      </c>
      <c r="O23" s="106">
        <f t="shared" si="0"/>
        <v>530.18484868962253</v>
      </c>
      <c r="P23" s="107">
        <v>6.099989518918352E-3</v>
      </c>
    </row>
    <row r="24" spans="1:16" x14ac:dyDescent="0.45">
      <c r="A24" s="104" t="s">
        <v>13</v>
      </c>
      <c r="B24" s="57">
        <v>7</v>
      </c>
      <c r="C24" s="57">
        <v>6</v>
      </c>
      <c r="D24" s="57">
        <v>6</v>
      </c>
      <c r="E24" s="57">
        <v>10</v>
      </c>
      <c r="F24" s="57">
        <v>7</v>
      </c>
      <c r="G24" s="57">
        <v>11</v>
      </c>
      <c r="H24" s="57">
        <v>23</v>
      </c>
      <c r="I24" s="57">
        <v>43</v>
      </c>
      <c r="J24" s="57">
        <v>145</v>
      </c>
      <c r="K24" s="105">
        <v>156.6333333333333</v>
      </c>
      <c r="L24" s="105">
        <v>193.19454801137758</v>
      </c>
      <c r="M24" s="105">
        <v>266.87699883662555</v>
      </c>
      <c r="N24" s="57">
        <v>258</v>
      </c>
      <c r="O24" s="106">
        <f t="shared" si="0"/>
        <v>874.70488018133642</v>
      </c>
      <c r="P24" s="107">
        <v>5.4082381301750341E-3</v>
      </c>
    </row>
    <row r="25" spans="1:16" x14ac:dyDescent="0.45">
      <c r="A25" s="104" t="s">
        <v>54</v>
      </c>
      <c r="B25" s="57">
        <v>114</v>
      </c>
      <c r="C25" s="57">
        <v>71</v>
      </c>
      <c r="D25" s="57">
        <v>21</v>
      </c>
      <c r="E25" s="57">
        <v>2</v>
      </c>
      <c r="F25" s="57">
        <v>1</v>
      </c>
      <c r="G25" s="57">
        <v>1</v>
      </c>
      <c r="H25" s="57"/>
      <c r="I25" s="57"/>
      <c r="J25" s="57"/>
      <c r="K25" s="105">
        <v>0</v>
      </c>
      <c r="L25" s="105">
        <v>0</v>
      </c>
      <c r="M25" s="105">
        <v>0</v>
      </c>
      <c r="N25" s="57">
        <v>210</v>
      </c>
      <c r="O25" s="106">
        <f t="shared" si="0"/>
        <v>210</v>
      </c>
      <c r="P25" s="107">
        <v>4.4020542920029347E-3</v>
      </c>
    </row>
    <row r="26" spans="1:16" x14ac:dyDescent="0.45">
      <c r="A26" s="104" t="s">
        <v>55</v>
      </c>
      <c r="B26" s="57">
        <v>71</v>
      </c>
      <c r="C26" s="57">
        <v>41</v>
      </c>
      <c r="D26" s="57">
        <v>30</v>
      </c>
      <c r="E26" s="57">
        <v>8</v>
      </c>
      <c r="F26" s="57">
        <v>13</v>
      </c>
      <c r="G26" s="57"/>
      <c r="H26" s="57"/>
      <c r="I26" s="57"/>
      <c r="J26" s="57"/>
      <c r="K26" s="105">
        <v>0</v>
      </c>
      <c r="L26" s="105">
        <v>0</v>
      </c>
      <c r="M26" s="105">
        <v>0</v>
      </c>
      <c r="N26" s="57">
        <v>163</v>
      </c>
      <c r="O26" s="106">
        <f t="shared" si="0"/>
        <v>163</v>
      </c>
      <c r="P26" s="107">
        <v>3.4168326171260875E-3</v>
      </c>
    </row>
    <row r="27" spans="1:16" x14ac:dyDescent="0.45">
      <c r="A27" s="104" t="s">
        <v>7</v>
      </c>
      <c r="B27" s="57">
        <v>44</v>
      </c>
      <c r="C27" s="57">
        <v>30</v>
      </c>
      <c r="D27" s="57">
        <v>6</v>
      </c>
      <c r="E27" s="57">
        <v>8</v>
      </c>
      <c r="F27" s="57">
        <v>2</v>
      </c>
      <c r="G27" s="57"/>
      <c r="H27" s="57"/>
      <c r="I27" s="57"/>
      <c r="J27" s="57"/>
      <c r="K27" s="105">
        <v>0</v>
      </c>
      <c r="L27" s="105">
        <v>0</v>
      </c>
      <c r="M27" s="105">
        <v>0</v>
      </c>
      <c r="N27" s="57">
        <v>90</v>
      </c>
      <c r="O27" s="106">
        <f t="shared" si="0"/>
        <v>90</v>
      </c>
      <c r="P27" s="107">
        <v>1.8865946965726864E-3</v>
      </c>
    </row>
    <row r="28" spans="1:16" x14ac:dyDescent="0.45">
      <c r="A28" s="108" t="s">
        <v>19</v>
      </c>
      <c r="B28" s="109">
        <v>2</v>
      </c>
      <c r="C28" s="109">
        <v>7</v>
      </c>
      <c r="D28" s="109">
        <v>1</v>
      </c>
      <c r="E28" s="109">
        <v>1</v>
      </c>
      <c r="F28" s="109">
        <v>0</v>
      </c>
      <c r="G28" s="109">
        <v>0</v>
      </c>
      <c r="H28" s="109">
        <v>0</v>
      </c>
      <c r="I28" s="109">
        <v>0</v>
      </c>
      <c r="J28" s="109">
        <v>10</v>
      </c>
      <c r="K28" s="105">
        <v>0</v>
      </c>
      <c r="L28" s="105">
        <v>0</v>
      </c>
      <c r="M28" s="105">
        <v>0</v>
      </c>
      <c r="N28" s="109">
        <v>21</v>
      </c>
      <c r="O28" s="106">
        <f t="shared" si="0"/>
        <v>21</v>
      </c>
      <c r="P28" s="107">
        <v>4.4020542920029346E-4</v>
      </c>
    </row>
    <row r="29" spans="1:16" x14ac:dyDescent="0.45">
      <c r="A29" s="108" t="s">
        <v>64</v>
      </c>
      <c r="B29" s="109"/>
      <c r="C29" s="109"/>
      <c r="D29" s="109"/>
      <c r="E29" s="109"/>
      <c r="F29" s="109"/>
      <c r="G29" s="109"/>
      <c r="H29" s="109"/>
      <c r="I29" s="109"/>
      <c r="J29" s="109">
        <v>13</v>
      </c>
      <c r="K29" s="105">
        <v>0</v>
      </c>
      <c r="L29" s="105">
        <v>0</v>
      </c>
      <c r="M29" s="105">
        <v>0</v>
      </c>
      <c r="N29" s="109">
        <v>13</v>
      </c>
      <c r="O29" s="106">
        <f t="shared" si="0"/>
        <v>13</v>
      </c>
      <c r="P29" s="107">
        <v>2.725081228382769E-4</v>
      </c>
    </row>
    <row r="30" spans="1:16" x14ac:dyDescent="0.45">
      <c r="A30" s="110" t="s">
        <v>109</v>
      </c>
      <c r="B30" s="111">
        <v>7488</v>
      </c>
      <c r="C30" s="111">
        <v>7115</v>
      </c>
      <c r="D30" s="111">
        <v>4786</v>
      </c>
      <c r="E30" s="111">
        <v>2677</v>
      </c>
      <c r="F30" s="111">
        <v>2274</v>
      </c>
      <c r="G30" s="111">
        <v>2376</v>
      </c>
      <c r="H30" s="111">
        <v>3743</v>
      </c>
      <c r="I30" s="111">
        <v>6438</v>
      </c>
      <c r="J30" s="111">
        <v>10808</v>
      </c>
      <c r="K30" s="112">
        <v>10955.7</v>
      </c>
      <c r="L30" s="112">
        <v>12369.693333333333</v>
      </c>
      <c r="M30" s="112">
        <v>16169.641366989596</v>
      </c>
      <c r="N30" s="111">
        <v>47705</v>
      </c>
      <c r="O30" s="113">
        <f t="shared" si="0"/>
        <v>87200.034700322925</v>
      </c>
      <c r="P30" s="114">
        <v>1</v>
      </c>
    </row>
  </sheetData>
  <conditionalFormatting sqref="P6:P2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9CDC-5C52-47F9-9AB3-370DE62D9154}">
  <dimension ref="B2:AI29"/>
  <sheetViews>
    <sheetView zoomScale="90" zoomScaleNormal="90" workbookViewId="0">
      <selection activeCell="R33" sqref="R33"/>
    </sheetView>
  </sheetViews>
  <sheetFormatPr defaultColWidth="11.53125" defaultRowHeight="11.25" x14ac:dyDescent="0.3"/>
  <cols>
    <col min="1" max="1" width="11.53125" style="70"/>
    <col min="2" max="2" width="12.86328125" style="70" bestFit="1" customWidth="1"/>
    <col min="3" max="11" width="5.46484375" style="70" bestFit="1" customWidth="1"/>
    <col min="12" max="12" width="4.33203125" style="70" bestFit="1" customWidth="1"/>
    <col min="13" max="13" width="5.796875" style="70" bestFit="1" customWidth="1"/>
    <col min="14" max="14" width="5.6640625" style="70" bestFit="1" customWidth="1"/>
    <col min="15" max="15" width="11.1328125" style="70" bestFit="1" customWidth="1"/>
    <col min="16" max="16" width="12.86328125" style="70" bestFit="1" customWidth="1"/>
    <col min="17" max="17" width="27.19921875" style="70" bestFit="1" customWidth="1"/>
    <col min="18" max="19" width="11.53125" style="70"/>
    <col min="20" max="20" width="19.6640625" style="70" bestFit="1" customWidth="1"/>
    <col min="21" max="28" width="5.46484375" style="70" bestFit="1" customWidth="1"/>
    <col min="29" max="29" width="6.796875" style="70" bestFit="1" customWidth="1"/>
    <col min="30" max="30" width="5.46484375" style="70" bestFit="1" customWidth="1"/>
    <col min="31" max="31" width="5.53125" style="70" bestFit="1" customWidth="1"/>
    <col min="32" max="32" width="5.46484375" style="70" bestFit="1" customWidth="1"/>
    <col min="33" max="33" width="13.86328125" style="70" bestFit="1" customWidth="1"/>
    <col min="34" max="34" width="16.1328125" style="70" bestFit="1" customWidth="1"/>
    <col min="35" max="35" width="34.1328125" style="70" bestFit="1" customWidth="1"/>
    <col min="36" max="16384" width="11.53125" style="70"/>
  </cols>
  <sheetData>
    <row r="2" spans="2:35" ht="13.5" x14ac:dyDescent="0.35">
      <c r="C2" s="67" t="s">
        <v>110</v>
      </c>
      <c r="D2" s="67"/>
      <c r="E2" s="67"/>
      <c r="F2" s="67"/>
      <c r="G2" s="67"/>
      <c r="H2" s="67"/>
      <c r="I2" s="67"/>
      <c r="J2" s="67"/>
      <c r="K2" s="67"/>
      <c r="L2" s="68" t="s">
        <v>111</v>
      </c>
      <c r="M2" s="69"/>
      <c r="N2" s="69"/>
      <c r="O2" s="71"/>
      <c r="P2" s="71"/>
      <c r="Q2" s="72"/>
      <c r="T2" s="43"/>
      <c r="U2" s="88" t="s">
        <v>112</v>
      </c>
      <c r="V2" s="88"/>
      <c r="W2" s="88"/>
      <c r="X2" s="88"/>
      <c r="Y2" s="88"/>
      <c r="Z2" s="88"/>
      <c r="AA2" s="88"/>
      <c r="AB2" s="88"/>
      <c r="AC2" s="88"/>
      <c r="AD2" s="89" t="s">
        <v>113</v>
      </c>
      <c r="AE2" s="90"/>
      <c r="AF2" s="90"/>
      <c r="AG2" s="115"/>
      <c r="AH2" s="115"/>
      <c r="AI2" s="116"/>
    </row>
    <row r="3" spans="2:35" ht="13.5" x14ac:dyDescent="0.35">
      <c r="B3" s="124"/>
      <c r="C3" s="74" t="s">
        <v>95</v>
      </c>
      <c r="D3" s="74" t="s">
        <v>96</v>
      </c>
      <c r="E3" s="74" t="s">
        <v>97</v>
      </c>
      <c r="F3" s="74" t="s">
        <v>98</v>
      </c>
      <c r="G3" s="74" t="s">
        <v>99</v>
      </c>
      <c r="H3" s="74" t="s">
        <v>100</v>
      </c>
      <c r="I3" s="74" t="s">
        <v>101</v>
      </c>
      <c r="J3" s="74" t="s">
        <v>102</v>
      </c>
      <c r="K3" s="74" t="s">
        <v>103</v>
      </c>
      <c r="L3" s="74" t="s">
        <v>3</v>
      </c>
      <c r="M3" s="74" t="s">
        <v>4</v>
      </c>
      <c r="N3" s="74" t="s">
        <v>104</v>
      </c>
      <c r="O3" s="74" t="s">
        <v>105</v>
      </c>
      <c r="P3" s="125" t="s">
        <v>106</v>
      </c>
      <c r="Q3" s="74" t="s">
        <v>107</v>
      </c>
      <c r="T3" s="126"/>
      <c r="U3" s="117" t="s">
        <v>95</v>
      </c>
      <c r="V3" s="117" t="s">
        <v>96</v>
      </c>
      <c r="W3" s="117" t="s">
        <v>97</v>
      </c>
      <c r="X3" s="117" t="s">
        <v>98</v>
      </c>
      <c r="Y3" s="117" t="s">
        <v>99</v>
      </c>
      <c r="Z3" s="117" t="s">
        <v>100</v>
      </c>
      <c r="AA3" s="117" t="s">
        <v>101</v>
      </c>
      <c r="AB3" s="117" t="s">
        <v>102</v>
      </c>
      <c r="AC3" s="117" t="s">
        <v>103</v>
      </c>
      <c r="AD3" s="117" t="s">
        <v>3</v>
      </c>
      <c r="AE3" s="117" t="s">
        <v>4</v>
      </c>
      <c r="AF3" s="117" t="s">
        <v>104</v>
      </c>
      <c r="AG3" s="117" t="s">
        <v>105</v>
      </c>
      <c r="AH3" s="118" t="s">
        <v>106</v>
      </c>
      <c r="AI3" s="117" t="s">
        <v>107</v>
      </c>
    </row>
    <row r="4" spans="2:35" ht="13.5" x14ac:dyDescent="0.35">
      <c r="B4" s="73" t="s">
        <v>108</v>
      </c>
      <c r="C4" s="74">
        <v>1</v>
      </c>
      <c r="D4" s="74">
        <v>2</v>
      </c>
      <c r="E4" s="74">
        <v>3</v>
      </c>
      <c r="F4" s="74">
        <v>4</v>
      </c>
      <c r="G4" s="74">
        <v>5</v>
      </c>
      <c r="H4" s="74">
        <v>6</v>
      </c>
      <c r="I4" s="74">
        <v>7</v>
      </c>
      <c r="J4" s="74">
        <v>8</v>
      </c>
      <c r="K4" s="74">
        <v>9</v>
      </c>
      <c r="L4" s="74">
        <v>10</v>
      </c>
      <c r="M4" s="74">
        <v>11</v>
      </c>
      <c r="N4" s="74">
        <v>12</v>
      </c>
      <c r="O4" s="73"/>
      <c r="P4" s="75"/>
      <c r="Q4" s="73"/>
      <c r="T4" s="119" t="s">
        <v>114</v>
      </c>
      <c r="U4" s="117">
        <v>1</v>
      </c>
      <c r="V4" s="117">
        <v>2</v>
      </c>
      <c r="W4" s="117">
        <v>3</v>
      </c>
      <c r="X4" s="117">
        <v>4</v>
      </c>
      <c r="Y4" s="117">
        <v>5</v>
      </c>
      <c r="Z4" s="117">
        <v>6</v>
      </c>
      <c r="AA4" s="117">
        <v>7</v>
      </c>
      <c r="AB4" s="117">
        <v>8</v>
      </c>
      <c r="AC4" s="117">
        <v>9</v>
      </c>
      <c r="AD4" s="117">
        <v>10</v>
      </c>
      <c r="AE4" s="117">
        <v>11</v>
      </c>
      <c r="AF4" s="117">
        <v>12</v>
      </c>
      <c r="AG4" s="117"/>
      <c r="AH4" s="127"/>
      <c r="AI4" s="117"/>
    </row>
    <row r="5" spans="2:35" ht="13.5" x14ac:dyDescent="0.35">
      <c r="B5" s="76" t="s">
        <v>5</v>
      </c>
      <c r="C5" s="77">
        <v>1932</v>
      </c>
      <c r="D5" s="77">
        <v>1784</v>
      </c>
      <c r="E5" s="77">
        <v>1221</v>
      </c>
      <c r="F5" s="77">
        <v>737</v>
      </c>
      <c r="G5" s="77">
        <v>599</v>
      </c>
      <c r="H5" s="77">
        <v>648</v>
      </c>
      <c r="I5" s="77">
        <v>825</v>
      </c>
      <c r="J5" s="77">
        <v>1316</v>
      </c>
      <c r="K5" s="77">
        <v>1942</v>
      </c>
      <c r="L5" s="78">
        <v>1904.5833333333333</v>
      </c>
      <c r="M5" s="78">
        <v>2038.8944444444444</v>
      </c>
      <c r="N5" s="78">
        <v>2106.0499999999997</v>
      </c>
      <c r="O5" s="77">
        <v>11004</v>
      </c>
      <c r="P5" s="79">
        <v>17053.527777777777</v>
      </c>
      <c r="Q5" s="80">
        <f>O5/$O$29</f>
        <v>0.25598436736687835</v>
      </c>
      <c r="T5" s="120" t="s">
        <v>9</v>
      </c>
      <c r="U5" s="44">
        <v>66</v>
      </c>
      <c r="V5" s="44">
        <v>57</v>
      </c>
      <c r="W5" s="44">
        <v>70</v>
      </c>
      <c r="X5" s="44">
        <v>83</v>
      </c>
      <c r="Y5" s="44">
        <v>77</v>
      </c>
      <c r="Z5" s="44">
        <v>62</v>
      </c>
      <c r="AA5" s="44">
        <v>113</v>
      </c>
      <c r="AB5" s="44">
        <v>290</v>
      </c>
      <c r="AC5" s="44">
        <v>387</v>
      </c>
      <c r="AD5" s="105">
        <v>421.13333333333333</v>
      </c>
      <c r="AE5" s="105">
        <v>455.26666666666665</v>
      </c>
      <c r="AF5" s="105">
        <v>489.4</v>
      </c>
      <c r="AG5" s="60">
        <f>SUM(U5:AC5)</f>
        <v>1205</v>
      </c>
      <c r="AH5" s="45">
        <v>2570.7999999999997</v>
      </c>
      <c r="AI5" s="121">
        <f>AG5/$AG$28</f>
        <v>0.25540483255616786</v>
      </c>
    </row>
    <row r="6" spans="2:35" ht="13.5" x14ac:dyDescent="0.35">
      <c r="B6" s="76" t="s">
        <v>9</v>
      </c>
      <c r="C6" s="77">
        <v>1501</v>
      </c>
      <c r="D6" s="77">
        <v>1193</v>
      </c>
      <c r="E6" s="77">
        <v>715</v>
      </c>
      <c r="F6" s="77">
        <v>316</v>
      </c>
      <c r="G6" s="77">
        <v>302</v>
      </c>
      <c r="H6" s="77">
        <v>332</v>
      </c>
      <c r="I6" s="77">
        <v>517</v>
      </c>
      <c r="J6" s="77">
        <v>1086</v>
      </c>
      <c r="K6" s="77">
        <v>1473</v>
      </c>
      <c r="L6" s="78">
        <v>1459.45</v>
      </c>
      <c r="M6" s="78">
        <v>1629.2766666666666</v>
      </c>
      <c r="N6" s="78">
        <v>1714.19</v>
      </c>
      <c r="O6" s="77">
        <v>7435</v>
      </c>
      <c r="P6" s="79">
        <v>12237.916666666668</v>
      </c>
      <c r="Q6" s="80">
        <f t="shared" ref="Q6:Q29" si="0">O6/$O$29</f>
        <v>0.17295926675506548</v>
      </c>
      <c r="T6" s="120" t="s">
        <v>16</v>
      </c>
      <c r="U6" s="44">
        <v>78</v>
      </c>
      <c r="V6" s="44">
        <v>77</v>
      </c>
      <c r="W6" s="44">
        <v>64</v>
      </c>
      <c r="X6" s="44">
        <v>45</v>
      </c>
      <c r="Y6" s="44">
        <v>15</v>
      </c>
      <c r="Z6" s="44">
        <v>16</v>
      </c>
      <c r="AA6" s="44">
        <v>101</v>
      </c>
      <c r="AB6" s="44">
        <v>94</v>
      </c>
      <c r="AC6" s="44">
        <v>144</v>
      </c>
      <c r="AD6" s="105">
        <v>145.66428355748559</v>
      </c>
      <c r="AE6" s="105">
        <v>151.67981711964077</v>
      </c>
      <c r="AF6" s="105">
        <v>157.69535068179596</v>
      </c>
      <c r="AG6" s="60">
        <f t="shared" ref="AG6:AG27" si="1">SUM(U6:AC6)</f>
        <v>634</v>
      </c>
      <c r="AH6" s="45">
        <v>1089.0394513589222</v>
      </c>
      <c r="AI6" s="121">
        <f t="shared" ref="AI6:AI28" si="2">AG6/$AG$28</f>
        <v>0.13437897414158542</v>
      </c>
    </row>
    <row r="7" spans="2:35" ht="13.5" x14ac:dyDescent="0.35">
      <c r="B7" s="76" t="s">
        <v>12</v>
      </c>
      <c r="C7" s="77">
        <v>558</v>
      </c>
      <c r="D7" s="77">
        <v>732</v>
      </c>
      <c r="E7" s="77">
        <v>441</v>
      </c>
      <c r="F7" s="77">
        <v>260</v>
      </c>
      <c r="G7" s="77">
        <v>306</v>
      </c>
      <c r="H7" s="77">
        <v>226</v>
      </c>
      <c r="I7" s="77">
        <v>469</v>
      </c>
      <c r="J7" s="77">
        <v>862</v>
      </c>
      <c r="K7" s="77">
        <v>1186</v>
      </c>
      <c r="L7" s="78">
        <v>1234.7333333333333</v>
      </c>
      <c r="M7" s="78">
        <v>1421.8311111111111</v>
      </c>
      <c r="N7" s="78">
        <v>1515.3799999999999</v>
      </c>
      <c r="O7" s="77">
        <v>5040</v>
      </c>
      <c r="P7" s="79">
        <v>9211.9444444444434</v>
      </c>
      <c r="Q7" s="80">
        <f t="shared" si="0"/>
        <v>0.1172447484123107</v>
      </c>
      <c r="T7" s="120" t="s">
        <v>5</v>
      </c>
      <c r="U7" s="44">
        <v>59</v>
      </c>
      <c r="V7" s="44">
        <v>80</v>
      </c>
      <c r="W7" s="44">
        <v>82</v>
      </c>
      <c r="X7" s="44">
        <v>109</v>
      </c>
      <c r="Y7" s="44">
        <v>49</v>
      </c>
      <c r="Z7" s="44">
        <v>42</v>
      </c>
      <c r="AA7" s="44">
        <v>55</v>
      </c>
      <c r="AB7" s="44">
        <v>49</v>
      </c>
      <c r="AC7" s="44">
        <v>96</v>
      </c>
      <c r="AD7" s="105">
        <v>59.7219572601472</v>
      </c>
      <c r="AE7" s="105">
        <v>58.702629660836699</v>
      </c>
      <c r="AF7" s="105">
        <v>57.683302061526199</v>
      </c>
      <c r="AG7" s="60">
        <f t="shared" si="1"/>
        <v>621</v>
      </c>
      <c r="AH7" s="45">
        <v>797.10788898251008</v>
      </c>
      <c r="AI7" s="121">
        <f t="shared" si="2"/>
        <v>0.13162356930902924</v>
      </c>
    </row>
    <row r="8" spans="2:35" ht="13.5" x14ac:dyDescent="0.35">
      <c r="B8" s="76" t="s">
        <v>6</v>
      </c>
      <c r="C8" s="77">
        <v>732</v>
      </c>
      <c r="D8" s="77">
        <v>672</v>
      </c>
      <c r="E8" s="77">
        <v>433</v>
      </c>
      <c r="F8" s="77">
        <v>182</v>
      </c>
      <c r="G8" s="77">
        <v>240</v>
      </c>
      <c r="H8" s="77">
        <v>282</v>
      </c>
      <c r="I8" s="77">
        <v>404</v>
      </c>
      <c r="J8" s="77">
        <v>610</v>
      </c>
      <c r="K8" s="77">
        <v>1079</v>
      </c>
      <c r="L8" s="78">
        <v>1099.7333333333333</v>
      </c>
      <c r="M8" s="78">
        <v>1269.0590844120873</v>
      </c>
      <c r="N8" s="78">
        <v>1353.6520144374044</v>
      </c>
      <c r="O8" s="77">
        <v>4634</v>
      </c>
      <c r="P8" s="79">
        <v>8356.444432182825</v>
      </c>
      <c r="Q8" s="80">
        <f t="shared" si="0"/>
        <v>0.10780003256798568</v>
      </c>
      <c r="T8" s="120" t="s">
        <v>6</v>
      </c>
      <c r="U8" s="44">
        <v>39</v>
      </c>
      <c r="V8" s="44">
        <v>46</v>
      </c>
      <c r="W8" s="44">
        <v>29</v>
      </c>
      <c r="X8" s="44">
        <v>31</v>
      </c>
      <c r="Y8" s="44">
        <v>25</v>
      </c>
      <c r="Z8" s="44">
        <v>32</v>
      </c>
      <c r="AA8" s="44">
        <v>60</v>
      </c>
      <c r="AB8" s="44">
        <v>63</v>
      </c>
      <c r="AC8" s="44">
        <v>88</v>
      </c>
      <c r="AD8" s="105">
        <v>91.187057924505623</v>
      </c>
      <c r="AE8" s="105">
        <v>96.360196770482673</v>
      </c>
      <c r="AF8" s="105">
        <v>101.53333561645972</v>
      </c>
      <c r="AG8" s="60">
        <f t="shared" si="1"/>
        <v>413</v>
      </c>
      <c r="AH8" s="45">
        <v>702.08059031144796</v>
      </c>
      <c r="AI8" s="121">
        <f t="shared" si="2"/>
        <v>8.7537091988130561E-2</v>
      </c>
    </row>
    <row r="9" spans="2:35" ht="13.5" x14ac:dyDescent="0.35">
      <c r="B9" s="76" t="s">
        <v>16</v>
      </c>
      <c r="C9" s="77">
        <v>439</v>
      </c>
      <c r="D9" s="77">
        <v>460</v>
      </c>
      <c r="E9" s="77">
        <v>325</v>
      </c>
      <c r="F9" s="77">
        <v>155</v>
      </c>
      <c r="G9" s="77">
        <v>93</v>
      </c>
      <c r="H9" s="77">
        <v>71</v>
      </c>
      <c r="I9" s="77">
        <v>213</v>
      </c>
      <c r="J9" s="77">
        <v>212</v>
      </c>
      <c r="K9" s="77">
        <v>370</v>
      </c>
      <c r="L9" s="78">
        <v>347.86666666666656</v>
      </c>
      <c r="M9" s="78">
        <v>349.98096370004589</v>
      </c>
      <c r="N9" s="78">
        <v>351.01278233401382</v>
      </c>
      <c r="O9" s="77">
        <v>2338</v>
      </c>
      <c r="P9" s="79">
        <v>3386.8604127007266</v>
      </c>
      <c r="Q9" s="80">
        <f t="shared" si="0"/>
        <v>5.4388536069044133E-2</v>
      </c>
      <c r="T9" s="120" t="s">
        <v>12</v>
      </c>
      <c r="U9" s="44">
        <v>13</v>
      </c>
      <c r="V9" s="44">
        <v>31</v>
      </c>
      <c r="W9" s="44">
        <v>27</v>
      </c>
      <c r="X9" s="44">
        <v>25</v>
      </c>
      <c r="Y9" s="44">
        <v>31</v>
      </c>
      <c r="Z9" s="44">
        <v>17</v>
      </c>
      <c r="AA9" s="44">
        <v>38</v>
      </c>
      <c r="AB9" s="44">
        <v>51</v>
      </c>
      <c r="AC9" s="44">
        <v>119</v>
      </c>
      <c r="AD9" s="105">
        <v>127.29999999999998</v>
      </c>
      <c r="AE9" s="105">
        <v>135.6</v>
      </c>
      <c r="AF9" s="105">
        <v>143.9</v>
      </c>
      <c r="AG9" s="60">
        <f t="shared" si="1"/>
        <v>352</v>
      </c>
      <c r="AH9" s="45">
        <v>758.8</v>
      </c>
      <c r="AI9" s="121">
        <f t="shared" si="2"/>
        <v>7.4607884696905463E-2</v>
      </c>
    </row>
    <row r="10" spans="2:35" ht="13.5" x14ac:dyDescent="0.35">
      <c r="B10" s="76" t="s">
        <v>52</v>
      </c>
      <c r="C10" s="77">
        <v>308</v>
      </c>
      <c r="D10" s="77">
        <v>364</v>
      </c>
      <c r="E10" s="77">
        <v>344</v>
      </c>
      <c r="F10" s="77">
        <v>74</v>
      </c>
      <c r="G10" s="77">
        <v>86</v>
      </c>
      <c r="H10" s="77">
        <v>78</v>
      </c>
      <c r="I10" s="77">
        <v>131</v>
      </c>
      <c r="J10" s="77">
        <v>219</v>
      </c>
      <c r="K10" s="77">
        <v>451</v>
      </c>
      <c r="L10" s="78">
        <v>421.75559060563376</v>
      </c>
      <c r="M10" s="78">
        <v>453.34384576115303</v>
      </c>
      <c r="N10" s="78">
        <v>468.06463676210683</v>
      </c>
      <c r="O10" s="77">
        <v>2055</v>
      </c>
      <c r="P10" s="79">
        <v>3398.1640731288935</v>
      </c>
      <c r="Q10" s="80">
        <f t="shared" si="0"/>
        <v>4.7805150394305253E-2</v>
      </c>
      <c r="T10" s="120" t="s">
        <v>52</v>
      </c>
      <c r="U10" s="44">
        <v>16</v>
      </c>
      <c r="V10" s="44">
        <v>25</v>
      </c>
      <c r="W10" s="44">
        <v>26</v>
      </c>
      <c r="X10" s="44">
        <v>30</v>
      </c>
      <c r="Y10" s="44">
        <v>9</v>
      </c>
      <c r="Z10" s="44">
        <v>24</v>
      </c>
      <c r="AA10" s="44">
        <v>37</v>
      </c>
      <c r="AB10" s="44">
        <v>54</v>
      </c>
      <c r="AC10" s="44">
        <v>114</v>
      </c>
      <c r="AD10" s="105">
        <v>122.25</v>
      </c>
      <c r="AE10" s="105">
        <v>130.5</v>
      </c>
      <c r="AF10" s="105">
        <v>138.75</v>
      </c>
      <c r="AG10" s="60">
        <f t="shared" si="1"/>
        <v>335</v>
      </c>
      <c r="AH10" s="45">
        <v>726.5</v>
      </c>
      <c r="AI10" s="121">
        <f t="shared" si="2"/>
        <v>7.1004662992793552E-2</v>
      </c>
    </row>
    <row r="11" spans="2:35" ht="13.5" x14ac:dyDescent="0.35">
      <c r="B11" s="76" t="s">
        <v>53</v>
      </c>
      <c r="C11" s="77">
        <v>234</v>
      </c>
      <c r="D11" s="77">
        <v>203</v>
      </c>
      <c r="E11" s="77">
        <v>165</v>
      </c>
      <c r="F11" s="77">
        <v>99</v>
      </c>
      <c r="G11" s="77">
        <v>106</v>
      </c>
      <c r="H11" s="77">
        <v>129</v>
      </c>
      <c r="I11" s="77">
        <v>160</v>
      </c>
      <c r="J11" s="77">
        <v>256</v>
      </c>
      <c r="K11" s="77">
        <v>419</v>
      </c>
      <c r="L11" s="78">
        <v>434.31666666666661</v>
      </c>
      <c r="M11" s="78">
        <v>502.82555555555547</v>
      </c>
      <c r="N11" s="78">
        <v>537.07999999999993</v>
      </c>
      <c r="O11" s="77">
        <v>1771</v>
      </c>
      <c r="P11" s="79">
        <v>3245.2222222222222</v>
      </c>
      <c r="Q11" s="80">
        <f t="shared" si="0"/>
        <v>4.1198501872659173E-2</v>
      </c>
      <c r="T11" s="120" t="s">
        <v>53</v>
      </c>
      <c r="U11" s="44"/>
      <c r="V11" s="44"/>
      <c r="W11" s="44">
        <v>3</v>
      </c>
      <c r="X11" s="44">
        <v>22</v>
      </c>
      <c r="Y11" s="44">
        <v>23</v>
      </c>
      <c r="Z11" s="44">
        <v>25</v>
      </c>
      <c r="AA11" s="44">
        <v>46</v>
      </c>
      <c r="AB11" s="44">
        <v>39</v>
      </c>
      <c r="AC11" s="44">
        <v>54</v>
      </c>
      <c r="AD11" s="105">
        <v>56.795244794948147</v>
      </c>
      <c r="AE11" s="105">
        <v>69.898070481336177</v>
      </c>
      <c r="AF11" s="105">
        <v>71.804594604552349</v>
      </c>
      <c r="AG11" s="60">
        <f t="shared" si="1"/>
        <v>212</v>
      </c>
      <c r="AH11" s="45">
        <v>410.49790988083663</v>
      </c>
      <c r="AI11" s="121">
        <f t="shared" si="2"/>
        <v>4.4934294192454427E-2</v>
      </c>
    </row>
    <row r="12" spans="2:35" ht="13.5" x14ac:dyDescent="0.35">
      <c r="B12" s="76" t="s">
        <v>11</v>
      </c>
      <c r="C12" s="77">
        <v>423</v>
      </c>
      <c r="D12" s="77">
        <v>277</v>
      </c>
      <c r="E12" s="77">
        <v>237</v>
      </c>
      <c r="F12" s="77">
        <v>128</v>
      </c>
      <c r="G12" s="77">
        <v>55</v>
      </c>
      <c r="H12" s="77">
        <v>106</v>
      </c>
      <c r="I12" s="77">
        <v>99</v>
      </c>
      <c r="J12" s="77">
        <v>113</v>
      </c>
      <c r="K12" s="77">
        <v>177</v>
      </c>
      <c r="L12" s="78">
        <v>147.43333333333331</v>
      </c>
      <c r="M12" s="78">
        <v>125.57480088688284</v>
      </c>
      <c r="N12" s="78">
        <v>114.12977568037545</v>
      </c>
      <c r="O12" s="77">
        <v>1615</v>
      </c>
      <c r="P12" s="79">
        <v>2002.1379099005917</v>
      </c>
      <c r="Q12" s="80">
        <f t="shared" si="0"/>
        <v>3.7569497755135274E-2</v>
      </c>
      <c r="T12" s="120" t="s">
        <v>8</v>
      </c>
      <c r="U12" s="44">
        <v>11</v>
      </c>
      <c r="V12" s="44">
        <v>20</v>
      </c>
      <c r="W12" s="44">
        <v>7</v>
      </c>
      <c r="X12" s="44">
        <v>6</v>
      </c>
      <c r="Y12" s="44">
        <v>8</v>
      </c>
      <c r="Z12" s="44">
        <v>8</v>
      </c>
      <c r="AA12" s="44">
        <v>15</v>
      </c>
      <c r="AB12" s="44">
        <v>34</v>
      </c>
      <c r="AC12" s="44">
        <v>69</v>
      </c>
      <c r="AD12" s="105">
        <v>73.86666666666666</v>
      </c>
      <c r="AE12" s="105">
        <v>78.733333333333334</v>
      </c>
      <c r="AF12" s="105">
        <v>83.6</v>
      </c>
      <c r="AG12" s="60">
        <f t="shared" si="1"/>
        <v>178</v>
      </c>
      <c r="AH12" s="45">
        <v>414.20000000000005</v>
      </c>
      <c r="AI12" s="121">
        <f t="shared" si="2"/>
        <v>3.7727850784230604E-2</v>
      </c>
    </row>
    <row r="13" spans="2:35" ht="13.5" x14ac:dyDescent="0.35">
      <c r="B13" s="76" t="s">
        <v>10</v>
      </c>
      <c r="C13" s="77">
        <v>324</v>
      </c>
      <c r="D13" s="77">
        <v>364</v>
      </c>
      <c r="E13" s="77">
        <v>129</v>
      </c>
      <c r="F13" s="77">
        <v>135</v>
      </c>
      <c r="G13" s="77">
        <v>30</v>
      </c>
      <c r="H13" s="77">
        <v>25</v>
      </c>
      <c r="I13" s="77">
        <v>47</v>
      </c>
      <c r="J13" s="77">
        <v>123</v>
      </c>
      <c r="K13" s="77">
        <v>291</v>
      </c>
      <c r="L13" s="78">
        <v>272.18333333333339</v>
      </c>
      <c r="M13" s="78">
        <v>275.99176652217568</v>
      </c>
      <c r="N13" s="78">
        <v>277.73799358306371</v>
      </c>
      <c r="O13" s="77">
        <v>1468</v>
      </c>
      <c r="P13" s="79">
        <v>2293.9130934385726</v>
      </c>
      <c r="Q13" s="80">
        <f t="shared" si="0"/>
        <v>3.4149859259776212E-2</v>
      </c>
      <c r="T13" s="120" t="s">
        <v>11</v>
      </c>
      <c r="U13" s="44">
        <v>8</v>
      </c>
      <c r="V13" s="44">
        <v>21</v>
      </c>
      <c r="W13" s="44">
        <v>16</v>
      </c>
      <c r="X13" s="44">
        <v>21</v>
      </c>
      <c r="Y13" s="44">
        <v>15</v>
      </c>
      <c r="Z13" s="44">
        <v>13</v>
      </c>
      <c r="AA13" s="44">
        <v>10</v>
      </c>
      <c r="AB13" s="44">
        <v>8</v>
      </c>
      <c r="AC13" s="44">
        <v>59</v>
      </c>
      <c r="AD13" s="105">
        <v>29.83145391964835</v>
      </c>
      <c r="AE13" s="105">
        <v>32.259704841809118</v>
      </c>
      <c r="AF13" s="105">
        <v>34.687955763969875</v>
      </c>
      <c r="AG13" s="60">
        <f t="shared" si="1"/>
        <v>171</v>
      </c>
      <c r="AH13" s="45">
        <v>267.7791145254273</v>
      </c>
      <c r="AI13" s="121">
        <f t="shared" si="2"/>
        <v>3.6244171259008057E-2</v>
      </c>
    </row>
    <row r="14" spans="2:35" ht="13.5" x14ac:dyDescent="0.35">
      <c r="B14" s="76" t="s">
        <v>14</v>
      </c>
      <c r="C14" s="77">
        <v>210</v>
      </c>
      <c r="D14" s="77">
        <v>198</v>
      </c>
      <c r="E14" s="77">
        <v>157</v>
      </c>
      <c r="F14" s="77">
        <v>82</v>
      </c>
      <c r="G14" s="77">
        <v>44</v>
      </c>
      <c r="H14" s="77">
        <v>60</v>
      </c>
      <c r="I14" s="77">
        <v>70</v>
      </c>
      <c r="J14" s="77">
        <v>96</v>
      </c>
      <c r="K14" s="77">
        <v>197</v>
      </c>
      <c r="L14" s="78">
        <v>187.76666666666665</v>
      </c>
      <c r="M14" s="78">
        <v>192.20222222222219</v>
      </c>
      <c r="N14" s="78">
        <v>194.42</v>
      </c>
      <c r="O14" s="77">
        <v>1114</v>
      </c>
      <c r="P14" s="79">
        <v>1688.3888888888889</v>
      </c>
      <c r="Q14" s="80">
        <f t="shared" si="0"/>
        <v>2.5914811454625816E-2</v>
      </c>
      <c r="T14" s="120" t="s">
        <v>56</v>
      </c>
      <c r="U14" s="44"/>
      <c r="V14" s="44"/>
      <c r="W14" s="44">
        <v>1</v>
      </c>
      <c r="X14" s="44">
        <v>2</v>
      </c>
      <c r="Y14" s="44"/>
      <c r="Z14" s="44">
        <v>1</v>
      </c>
      <c r="AA14" s="44">
        <v>2</v>
      </c>
      <c r="AB14" s="44">
        <v>12</v>
      </c>
      <c r="AC14" s="44">
        <v>87</v>
      </c>
      <c r="AD14" s="105">
        <v>96.946428571428555</v>
      </c>
      <c r="AE14" s="105">
        <v>106.89285714285715</v>
      </c>
      <c r="AF14" s="105">
        <v>116.83928571428571</v>
      </c>
      <c r="AG14" s="60">
        <f t="shared" si="1"/>
        <v>105</v>
      </c>
      <c r="AH14" s="45">
        <v>425.67857142857144</v>
      </c>
      <c r="AI14" s="121">
        <f t="shared" si="2"/>
        <v>2.2255192878338281E-2</v>
      </c>
    </row>
    <row r="15" spans="2:35" ht="13.5" x14ac:dyDescent="0.35">
      <c r="B15" s="76" t="s">
        <v>8</v>
      </c>
      <c r="C15" s="77">
        <v>96</v>
      </c>
      <c r="D15" s="77">
        <v>113</v>
      </c>
      <c r="E15" s="77">
        <v>92</v>
      </c>
      <c r="F15" s="77">
        <v>32</v>
      </c>
      <c r="G15" s="77">
        <v>53</v>
      </c>
      <c r="H15" s="77">
        <v>43</v>
      </c>
      <c r="I15" s="77">
        <v>88</v>
      </c>
      <c r="J15" s="77">
        <v>145</v>
      </c>
      <c r="K15" s="77">
        <v>261</v>
      </c>
      <c r="L15" s="78">
        <v>273.64999999999992</v>
      </c>
      <c r="M15" s="78">
        <v>325.81625064442625</v>
      </c>
      <c r="N15" s="78">
        <v>351.88470132081335</v>
      </c>
      <c r="O15" s="77">
        <v>923</v>
      </c>
      <c r="P15" s="79">
        <v>1874.3509519652393</v>
      </c>
      <c r="Q15" s="80">
        <f t="shared" si="0"/>
        <v>2.1471607695349757E-2</v>
      </c>
      <c r="T15" s="120" t="s">
        <v>18</v>
      </c>
      <c r="U15" s="44">
        <v>4</v>
      </c>
      <c r="V15" s="44">
        <v>12</v>
      </c>
      <c r="W15" s="44">
        <v>3</v>
      </c>
      <c r="X15" s="44">
        <v>4</v>
      </c>
      <c r="Y15" s="44"/>
      <c r="Z15" s="44">
        <v>3</v>
      </c>
      <c r="AA15" s="44">
        <v>1</v>
      </c>
      <c r="AB15" s="44">
        <v>5</v>
      </c>
      <c r="AC15" s="44">
        <v>61</v>
      </c>
      <c r="AD15" s="105">
        <v>30.183516450011147</v>
      </c>
      <c r="AE15" s="105">
        <v>33.511564667409942</v>
      </c>
      <c r="AF15" s="105">
        <v>36.839612884808716</v>
      </c>
      <c r="AG15" s="60">
        <f t="shared" si="1"/>
        <v>93</v>
      </c>
      <c r="AH15" s="45">
        <v>193.5346940022298</v>
      </c>
      <c r="AI15" s="121">
        <f t="shared" si="2"/>
        <v>1.9711742263671048E-2</v>
      </c>
    </row>
    <row r="16" spans="2:35" ht="13.5" x14ac:dyDescent="0.35">
      <c r="B16" s="76" t="s">
        <v>62</v>
      </c>
      <c r="C16" s="77"/>
      <c r="D16" s="77"/>
      <c r="E16" s="77"/>
      <c r="F16" s="77"/>
      <c r="G16" s="77"/>
      <c r="H16" s="77"/>
      <c r="I16" s="77">
        <v>38</v>
      </c>
      <c r="J16" s="77">
        <v>195</v>
      </c>
      <c r="K16" s="77">
        <v>342</v>
      </c>
      <c r="L16" s="78">
        <v>495.29199499999999</v>
      </c>
      <c r="M16" s="78">
        <v>799.71278229760742</v>
      </c>
      <c r="N16" s="78">
        <v>952.05018407552984</v>
      </c>
      <c r="O16" s="77">
        <v>575</v>
      </c>
      <c r="P16" s="79">
        <v>2822.0549613731373</v>
      </c>
      <c r="Q16" s="80">
        <f t="shared" si="0"/>
        <v>1.337613697164259E-2</v>
      </c>
      <c r="T16" s="120" t="s">
        <v>10</v>
      </c>
      <c r="U16" s="44">
        <v>12</v>
      </c>
      <c r="V16" s="44">
        <v>13</v>
      </c>
      <c r="W16" s="44">
        <v>12</v>
      </c>
      <c r="X16" s="44">
        <v>5</v>
      </c>
      <c r="Y16" s="44">
        <v>5</v>
      </c>
      <c r="Z16" s="44">
        <v>2</v>
      </c>
      <c r="AA16" s="44">
        <v>3</v>
      </c>
      <c r="AB16" s="44">
        <v>4</v>
      </c>
      <c r="AC16" s="44">
        <v>23</v>
      </c>
      <c r="AD16" s="105">
        <v>22.93333333333333</v>
      </c>
      <c r="AE16" s="105">
        <v>22.866666666666671</v>
      </c>
      <c r="AF16" s="105">
        <v>22.799999999999997</v>
      </c>
      <c r="AG16" s="60">
        <f t="shared" si="1"/>
        <v>79</v>
      </c>
      <c r="AH16" s="45">
        <v>147.60000000000002</v>
      </c>
      <c r="AI16" s="121">
        <f t="shared" si="2"/>
        <v>1.6744383213225942E-2</v>
      </c>
    </row>
    <row r="17" spans="2:35" ht="13.5" x14ac:dyDescent="0.35">
      <c r="B17" s="76" t="s">
        <v>63</v>
      </c>
      <c r="C17" s="77"/>
      <c r="D17" s="77"/>
      <c r="E17" s="77"/>
      <c r="F17" s="77"/>
      <c r="G17" s="77"/>
      <c r="H17" s="77"/>
      <c r="I17" s="77">
        <v>42</v>
      </c>
      <c r="J17" s="77">
        <v>195</v>
      </c>
      <c r="K17" s="77">
        <v>333</v>
      </c>
      <c r="L17" s="78">
        <v>480.43799250000001</v>
      </c>
      <c r="M17" s="78">
        <v>772.06917344641136</v>
      </c>
      <c r="N17" s="78">
        <v>918.07527611329488</v>
      </c>
      <c r="O17" s="77">
        <v>570</v>
      </c>
      <c r="P17" s="79">
        <v>2740.5824420597064</v>
      </c>
      <c r="Q17" s="80">
        <f t="shared" si="0"/>
        <v>1.3259822737106568E-2</v>
      </c>
      <c r="T17" s="120" t="s">
        <v>14</v>
      </c>
      <c r="U17" s="44">
        <v>2</v>
      </c>
      <c r="V17" s="44">
        <v>2</v>
      </c>
      <c r="W17" s="44">
        <v>8</v>
      </c>
      <c r="X17" s="44">
        <v>2</v>
      </c>
      <c r="Y17" s="44">
        <v>3</v>
      </c>
      <c r="Z17" s="44">
        <v>4</v>
      </c>
      <c r="AA17" s="44">
        <v>3</v>
      </c>
      <c r="AB17" s="44">
        <v>13</v>
      </c>
      <c r="AC17" s="44">
        <v>17</v>
      </c>
      <c r="AD17" s="105">
        <v>13.72825357834396</v>
      </c>
      <c r="AE17" s="105">
        <v>15.135327066901308</v>
      </c>
      <c r="AF17" s="105">
        <v>16.542400555458656</v>
      </c>
      <c r="AG17" s="60">
        <f t="shared" si="1"/>
        <v>54</v>
      </c>
      <c r="AH17" s="45">
        <v>99.40598120070392</v>
      </c>
      <c r="AI17" s="121">
        <f t="shared" si="2"/>
        <v>1.1445527766002543E-2</v>
      </c>
    </row>
    <row r="18" spans="2:35" ht="13.5" x14ac:dyDescent="0.35">
      <c r="B18" s="76" t="s">
        <v>15</v>
      </c>
      <c r="C18" s="77">
        <v>54</v>
      </c>
      <c r="D18" s="77">
        <v>64</v>
      </c>
      <c r="E18" s="77">
        <v>34</v>
      </c>
      <c r="F18" s="77">
        <v>17</v>
      </c>
      <c r="G18" s="77">
        <v>28</v>
      </c>
      <c r="H18" s="77">
        <v>39</v>
      </c>
      <c r="I18" s="77">
        <v>44</v>
      </c>
      <c r="J18" s="77">
        <v>103</v>
      </c>
      <c r="K18" s="77">
        <v>95</v>
      </c>
      <c r="L18" s="78">
        <v>101.18429798418167</v>
      </c>
      <c r="M18" s="78">
        <v>118.80014160405231</v>
      </c>
      <c r="N18" s="78">
        <v>127.42754979226059</v>
      </c>
      <c r="O18" s="77">
        <v>478</v>
      </c>
      <c r="P18" s="79">
        <v>825.41198938049456</v>
      </c>
      <c r="Q18" s="80">
        <f t="shared" si="0"/>
        <v>1.1119640821643753E-2</v>
      </c>
      <c r="T18" s="120" t="s">
        <v>15</v>
      </c>
      <c r="U18" s="44">
        <v>6</v>
      </c>
      <c r="V18" s="44">
        <v>3</v>
      </c>
      <c r="W18" s="44">
        <v>3</v>
      </c>
      <c r="X18" s="44">
        <v>10</v>
      </c>
      <c r="Y18" s="44">
        <v>6</v>
      </c>
      <c r="Z18" s="44">
        <v>9</v>
      </c>
      <c r="AA18" s="44">
        <v>7</v>
      </c>
      <c r="AB18" s="44">
        <v>7</v>
      </c>
      <c r="AC18" s="44">
        <v>3</v>
      </c>
      <c r="AD18" s="105">
        <v>7.0213171375858145</v>
      </c>
      <c r="AE18" s="105">
        <v>7.1339052981523761</v>
      </c>
      <c r="AF18" s="105">
        <v>7.246493458718942</v>
      </c>
      <c r="AG18" s="60">
        <f t="shared" si="1"/>
        <v>54</v>
      </c>
      <c r="AH18" s="45">
        <v>75.401715894457126</v>
      </c>
      <c r="AI18" s="121">
        <f t="shared" si="2"/>
        <v>1.1445527766002543E-2</v>
      </c>
    </row>
    <row r="19" spans="2:35" ht="13.5" x14ac:dyDescent="0.35">
      <c r="B19" s="76" t="s">
        <v>40</v>
      </c>
      <c r="C19" s="77">
        <v>34</v>
      </c>
      <c r="D19" s="77">
        <v>23</v>
      </c>
      <c r="E19" s="77">
        <v>5</v>
      </c>
      <c r="F19" s="77">
        <v>8</v>
      </c>
      <c r="G19" s="77"/>
      <c r="H19" s="77"/>
      <c r="I19" s="77"/>
      <c r="J19" s="77"/>
      <c r="K19" s="77">
        <v>331</v>
      </c>
      <c r="L19" s="78">
        <v>0</v>
      </c>
      <c r="M19" s="78">
        <v>0</v>
      </c>
      <c r="N19" s="78">
        <v>0</v>
      </c>
      <c r="O19" s="77">
        <v>401</v>
      </c>
      <c r="P19" s="79">
        <v>401</v>
      </c>
      <c r="Q19" s="80">
        <f t="shared" si="0"/>
        <v>9.3284016097890058E-3</v>
      </c>
      <c r="T19" s="120" t="s">
        <v>40</v>
      </c>
      <c r="U19" s="44">
        <v>2</v>
      </c>
      <c r="V19" s="44">
        <v>1</v>
      </c>
      <c r="W19" s="44"/>
      <c r="X19" s="44"/>
      <c r="Y19" s="44"/>
      <c r="Z19" s="44">
        <v>3</v>
      </c>
      <c r="AA19" s="44"/>
      <c r="AB19" s="44"/>
      <c r="AC19" s="44">
        <v>47</v>
      </c>
      <c r="AD19" s="105">
        <v>0</v>
      </c>
      <c r="AE19" s="105">
        <v>0</v>
      </c>
      <c r="AF19" s="105">
        <v>0</v>
      </c>
      <c r="AG19" s="60">
        <f t="shared" si="1"/>
        <v>53</v>
      </c>
      <c r="AH19" s="45">
        <v>53</v>
      </c>
      <c r="AI19" s="121">
        <f t="shared" si="2"/>
        <v>1.1233573548113607E-2</v>
      </c>
    </row>
    <row r="20" spans="2:35" ht="13.5" x14ac:dyDescent="0.35">
      <c r="B20" s="76" t="s">
        <v>18</v>
      </c>
      <c r="C20" s="77">
        <v>35</v>
      </c>
      <c r="D20" s="77">
        <v>64</v>
      </c>
      <c r="E20" s="77">
        <v>23</v>
      </c>
      <c r="F20" s="77">
        <v>5</v>
      </c>
      <c r="G20" s="77">
        <v>9</v>
      </c>
      <c r="H20" s="77">
        <v>22</v>
      </c>
      <c r="I20" s="77">
        <v>35</v>
      </c>
      <c r="J20" s="77">
        <v>36</v>
      </c>
      <c r="K20" s="77">
        <v>91</v>
      </c>
      <c r="L20" s="78">
        <v>88.854876468653799</v>
      </c>
      <c r="M20" s="78">
        <v>102.22686051182887</v>
      </c>
      <c r="N20" s="78">
        <v>108.72107439127174</v>
      </c>
      <c r="O20" s="77">
        <v>320</v>
      </c>
      <c r="P20" s="79">
        <v>619.80281137175439</v>
      </c>
      <c r="Q20" s="80">
        <f t="shared" si="0"/>
        <v>7.4441110103054412E-3</v>
      </c>
      <c r="T20" s="120" t="s">
        <v>62</v>
      </c>
      <c r="U20" s="44"/>
      <c r="V20" s="44"/>
      <c r="W20" s="44"/>
      <c r="X20" s="44"/>
      <c r="Y20" s="44"/>
      <c r="Z20" s="44"/>
      <c r="AA20" s="44"/>
      <c r="AB20" s="44">
        <v>15</v>
      </c>
      <c r="AC20" s="44">
        <v>33</v>
      </c>
      <c r="AD20" s="105">
        <v>51</v>
      </c>
      <c r="AE20" s="105">
        <v>69</v>
      </c>
      <c r="AF20" s="105">
        <v>87</v>
      </c>
      <c r="AG20" s="60">
        <f t="shared" si="1"/>
        <v>48</v>
      </c>
      <c r="AH20" s="45">
        <v>255</v>
      </c>
      <c r="AI20" s="121">
        <f t="shared" si="2"/>
        <v>1.0173802458668928E-2</v>
      </c>
    </row>
    <row r="21" spans="2:35" ht="13.5" x14ac:dyDescent="0.35">
      <c r="B21" s="76" t="s">
        <v>17</v>
      </c>
      <c r="C21" s="77">
        <v>42</v>
      </c>
      <c r="D21" s="77">
        <v>41</v>
      </c>
      <c r="E21" s="77">
        <v>24</v>
      </c>
      <c r="F21" s="77">
        <v>13</v>
      </c>
      <c r="G21" s="77">
        <v>19</v>
      </c>
      <c r="H21" s="77">
        <v>20</v>
      </c>
      <c r="I21" s="77">
        <v>22</v>
      </c>
      <c r="J21" s="77">
        <v>38</v>
      </c>
      <c r="K21" s="77">
        <v>56</v>
      </c>
      <c r="L21" s="78">
        <v>56.833333333333336</v>
      </c>
      <c r="M21" s="78">
        <v>64.205441197543436</v>
      </c>
      <c r="N21" s="78">
        <v>67.888367013422112</v>
      </c>
      <c r="O21" s="77">
        <v>275</v>
      </c>
      <c r="P21" s="79">
        <v>463.92714154429888</v>
      </c>
      <c r="Q21" s="80">
        <f t="shared" si="0"/>
        <v>6.3972828994812384E-3</v>
      </c>
      <c r="T21" s="120" t="s">
        <v>63</v>
      </c>
      <c r="U21" s="44"/>
      <c r="V21" s="44"/>
      <c r="W21" s="44"/>
      <c r="X21" s="44"/>
      <c r="Y21" s="44"/>
      <c r="Z21" s="44"/>
      <c r="AA21" s="44">
        <v>2</v>
      </c>
      <c r="AB21" s="44">
        <v>15</v>
      </c>
      <c r="AC21" s="44">
        <v>31</v>
      </c>
      <c r="AD21" s="105">
        <v>45.112401499999997</v>
      </c>
      <c r="AE21" s="105">
        <v>59.493453000000002</v>
      </c>
      <c r="AF21" s="105">
        <v>73.8745045</v>
      </c>
      <c r="AG21" s="60">
        <f t="shared" si="1"/>
        <v>48</v>
      </c>
      <c r="AH21" s="45">
        <v>226.48035900000002</v>
      </c>
      <c r="AI21" s="121">
        <f t="shared" si="2"/>
        <v>1.0173802458668928E-2</v>
      </c>
    </row>
    <row r="22" spans="2:35" ht="13.5" x14ac:dyDescent="0.35">
      <c r="B22" s="76" t="s">
        <v>56</v>
      </c>
      <c r="C22" s="77">
        <v>12</v>
      </c>
      <c r="D22" s="77">
        <v>20</v>
      </c>
      <c r="E22" s="77">
        <v>26</v>
      </c>
      <c r="F22" s="77">
        <v>8</v>
      </c>
      <c r="G22" s="77">
        <v>14</v>
      </c>
      <c r="H22" s="77">
        <v>22</v>
      </c>
      <c r="I22" s="77">
        <v>21</v>
      </c>
      <c r="J22" s="77">
        <v>34</v>
      </c>
      <c r="K22" s="77">
        <v>106</v>
      </c>
      <c r="L22" s="78">
        <v>113.03333333333332</v>
      </c>
      <c r="M22" s="78">
        <v>135.21852207313995</v>
      </c>
      <c r="N22" s="78">
        <v>146.40807907652186</v>
      </c>
      <c r="O22" s="77">
        <v>263</v>
      </c>
      <c r="P22" s="79">
        <v>657.65993448299514</v>
      </c>
      <c r="Q22" s="80">
        <f t="shared" si="0"/>
        <v>6.1181287365947848E-3</v>
      </c>
      <c r="T22" s="120" t="s">
        <v>13</v>
      </c>
      <c r="U22" s="44">
        <v>2</v>
      </c>
      <c r="V22" s="44">
        <v>1</v>
      </c>
      <c r="W22" s="44">
        <v>1</v>
      </c>
      <c r="X22" s="44">
        <v>3</v>
      </c>
      <c r="Y22" s="44"/>
      <c r="Z22" s="44"/>
      <c r="AA22" s="44">
        <v>4</v>
      </c>
      <c r="AB22" s="44">
        <v>1</v>
      </c>
      <c r="AC22" s="44">
        <v>7</v>
      </c>
      <c r="AD22" s="105">
        <v>5.4374174032850826</v>
      </c>
      <c r="AE22" s="105">
        <v>5.8765494838946868</v>
      </c>
      <c r="AF22" s="105">
        <v>6.3156815645042874</v>
      </c>
      <c r="AG22" s="60">
        <f t="shared" si="1"/>
        <v>19</v>
      </c>
      <c r="AH22" s="45">
        <v>36.629648451684055</v>
      </c>
      <c r="AI22" s="121">
        <f t="shared" si="2"/>
        <v>4.0271301398897841E-3</v>
      </c>
    </row>
    <row r="23" spans="2:35" ht="13.5" x14ac:dyDescent="0.35">
      <c r="B23" s="76" t="s">
        <v>13</v>
      </c>
      <c r="C23" s="77">
        <v>5</v>
      </c>
      <c r="D23" s="77">
        <v>5</v>
      </c>
      <c r="E23" s="77">
        <v>5</v>
      </c>
      <c r="F23" s="77">
        <v>7</v>
      </c>
      <c r="G23" s="77">
        <v>7</v>
      </c>
      <c r="H23" s="77">
        <v>11</v>
      </c>
      <c r="I23" s="77">
        <v>19</v>
      </c>
      <c r="J23" s="77">
        <v>42</v>
      </c>
      <c r="K23" s="77">
        <v>138</v>
      </c>
      <c r="L23" s="78">
        <v>149.24999999999997</v>
      </c>
      <c r="M23" s="78">
        <v>184.37393304961512</v>
      </c>
      <c r="N23" s="78">
        <v>202.01100566646994</v>
      </c>
      <c r="O23" s="77">
        <v>239</v>
      </c>
      <c r="P23" s="79">
        <v>774.634938716085</v>
      </c>
      <c r="Q23" s="80">
        <f t="shared" si="0"/>
        <v>5.5598204108218766E-3</v>
      </c>
      <c r="T23" s="120" t="s">
        <v>17</v>
      </c>
      <c r="U23" s="44"/>
      <c r="V23" s="44"/>
      <c r="W23" s="44"/>
      <c r="X23" s="44">
        <v>2</v>
      </c>
      <c r="Y23" s="44">
        <v>1</v>
      </c>
      <c r="Z23" s="44"/>
      <c r="AA23" s="44">
        <v>2</v>
      </c>
      <c r="AB23" s="44">
        <v>3</v>
      </c>
      <c r="AC23" s="44">
        <v>8</v>
      </c>
      <c r="AD23" s="105">
        <v>8.8484295267687418</v>
      </c>
      <c r="AE23" s="105">
        <v>10.071874393108667</v>
      </c>
      <c r="AF23" s="105">
        <v>11.295319259448593</v>
      </c>
      <c r="AG23" s="60">
        <f t="shared" si="1"/>
        <v>16</v>
      </c>
      <c r="AH23" s="45">
        <v>46.215623179326002</v>
      </c>
      <c r="AI23" s="121">
        <f t="shared" si="2"/>
        <v>3.3912674862229758E-3</v>
      </c>
    </row>
    <row r="24" spans="2:35" ht="13.5" x14ac:dyDescent="0.35">
      <c r="B24" s="76" t="s">
        <v>54</v>
      </c>
      <c r="C24" s="77">
        <v>109</v>
      </c>
      <c r="D24" s="77">
        <v>66</v>
      </c>
      <c r="E24" s="77">
        <v>18</v>
      </c>
      <c r="F24" s="77">
        <v>2</v>
      </c>
      <c r="G24" s="77">
        <v>1</v>
      </c>
      <c r="H24" s="77">
        <v>1</v>
      </c>
      <c r="I24" s="77"/>
      <c r="J24" s="77"/>
      <c r="K24" s="77"/>
      <c r="L24" s="78">
        <v>0</v>
      </c>
      <c r="M24" s="78">
        <v>0</v>
      </c>
      <c r="N24" s="78">
        <v>0</v>
      </c>
      <c r="O24" s="77">
        <v>197</v>
      </c>
      <c r="P24" s="79">
        <v>197</v>
      </c>
      <c r="Q24" s="80">
        <f t="shared" si="0"/>
        <v>4.5827808407192874E-3</v>
      </c>
      <c r="T24" s="120" t="s">
        <v>54</v>
      </c>
      <c r="U24" s="44">
        <v>5</v>
      </c>
      <c r="V24" s="44">
        <v>5</v>
      </c>
      <c r="W24" s="44">
        <v>3</v>
      </c>
      <c r="X24" s="44"/>
      <c r="Y24" s="44"/>
      <c r="Z24" s="44"/>
      <c r="AA24" s="44"/>
      <c r="AB24" s="44"/>
      <c r="AC24" s="44"/>
      <c r="AD24" s="105">
        <v>0</v>
      </c>
      <c r="AE24" s="105">
        <v>0</v>
      </c>
      <c r="AF24" s="105">
        <v>0</v>
      </c>
      <c r="AG24" s="60">
        <f t="shared" si="1"/>
        <v>13</v>
      </c>
      <c r="AH24" s="45">
        <v>13</v>
      </c>
      <c r="AI24" s="121">
        <f t="shared" si="2"/>
        <v>2.755404832556168E-3</v>
      </c>
    </row>
    <row r="25" spans="2:35" ht="13.5" x14ac:dyDescent="0.35">
      <c r="B25" s="76" t="s">
        <v>55</v>
      </c>
      <c r="C25" s="77">
        <v>71</v>
      </c>
      <c r="D25" s="77">
        <v>41</v>
      </c>
      <c r="E25" s="77">
        <v>30</v>
      </c>
      <c r="F25" s="77">
        <v>7</v>
      </c>
      <c r="G25" s="77">
        <v>13</v>
      </c>
      <c r="H25" s="77"/>
      <c r="I25" s="77"/>
      <c r="J25" s="77"/>
      <c r="K25" s="77"/>
      <c r="L25" s="78">
        <v>0</v>
      </c>
      <c r="M25" s="78">
        <v>0</v>
      </c>
      <c r="N25" s="78">
        <v>0</v>
      </c>
      <c r="O25" s="77">
        <v>162</v>
      </c>
      <c r="P25" s="79">
        <v>162</v>
      </c>
      <c r="Q25" s="80">
        <f t="shared" si="0"/>
        <v>3.7685811989671297E-3</v>
      </c>
      <c r="T25" s="120" t="s">
        <v>7</v>
      </c>
      <c r="U25" s="44"/>
      <c r="V25" s="44">
        <v>6</v>
      </c>
      <c r="W25" s="44"/>
      <c r="X25" s="44">
        <v>2</v>
      </c>
      <c r="Y25" s="44"/>
      <c r="Z25" s="44"/>
      <c r="AA25" s="44"/>
      <c r="AB25" s="44"/>
      <c r="AC25" s="44"/>
      <c r="AD25" s="105">
        <v>0</v>
      </c>
      <c r="AE25" s="105">
        <v>0</v>
      </c>
      <c r="AF25" s="105">
        <v>0</v>
      </c>
      <c r="AG25" s="60">
        <f t="shared" si="1"/>
        <v>8</v>
      </c>
      <c r="AH25" s="45">
        <v>8</v>
      </c>
      <c r="AI25" s="121">
        <f t="shared" si="2"/>
        <v>1.6956337431114879E-3</v>
      </c>
    </row>
    <row r="26" spans="2:35" ht="13.5" x14ac:dyDescent="0.35">
      <c r="B26" s="76" t="s">
        <v>7</v>
      </c>
      <c r="C26" s="77">
        <v>44</v>
      </c>
      <c r="D26" s="77">
        <v>24</v>
      </c>
      <c r="E26" s="77">
        <v>6</v>
      </c>
      <c r="F26" s="77">
        <v>6</v>
      </c>
      <c r="G26" s="77">
        <v>2</v>
      </c>
      <c r="H26" s="77"/>
      <c r="I26" s="77"/>
      <c r="J26" s="77"/>
      <c r="K26" s="77"/>
      <c r="L26" s="78">
        <v>0</v>
      </c>
      <c r="M26" s="78">
        <v>0</v>
      </c>
      <c r="N26" s="78">
        <v>0</v>
      </c>
      <c r="O26" s="77">
        <v>82</v>
      </c>
      <c r="P26" s="79">
        <v>82</v>
      </c>
      <c r="Q26" s="80">
        <f t="shared" si="0"/>
        <v>1.9075534463907694E-3</v>
      </c>
      <c r="T26" s="120" t="s">
        <v>19</v>
      </c>
      <c r="U26" s="44"/>
      <c r="V26" s="44"/>
      <c r="W26" s="44"/>
      <c r="X26" s="44"/>
      <c r="Y26" s="44"/>
      <c r="Z26" s="44"/>
      <c r="AA26" s="44"/>
      <c r="AB26" s="44"/>
      <c r="AC26" s="44">
        <v>6</v>
      </c>
      <c r="AD26" s="105">
        <v>0</v>
      </c>
      <c r="AE26" s="105">
        <v>0</v>
      </c>
      <c r="AF26" s="105">
        <v>0</v>
      </c>
      <c r="AG26" s="60">
        <f t="shared" si="1"/>
        <v>6</v>
      </c>
      <c r="AH26" s="45">
        <v>6</v>
      </c>
      <c r="AI26" s="121">
        <f t="shared" si="2"/>
        <v>1.271725307333616E-3</v>
      </c>
    </row>
    <row r="27" spans="2:35" ht="13.5" x14ac:dyDescent="0.35">
      <c r="B27" s="81" t="s">
        <v>19</v>
      </c>
      <c r="C27" s="82">
        <v>2</v>
      </c>
      <c r="D27" s="82">
        <v>7</v>
      </c>
      <c r="E27" s="82">
        <v>1</v>
      </c>
      <c r="F27" s="82">
        <v>1</v>
      </c>
      <c r="G27" s="82"/>
      <c r="H27" s="82"/>
      <c r="I27" s="82"/>
      <c r="J27" s="82"/>
      <c r="K27" s="82">
        <v>4</v>
      </c>
      <c r="L27" s="78">
        <v>0</v>
      </c>
      <c r="M27" s="78">
        <v>0</v>
      </c>
      <c r="N27" s="78">
        <v>0</v>
      </c>
      <c r="O27" s="82">
        <v>15</v>
      </c>
      <c r="P27" s="79">
        <v>15</v>
      </c>
      <c r="Q27" s="80">
        <f t="shared" si="0"/>
        <v>3.4894270360806757E-4</v>
      </c>
      <c r="T27" s="120" t="s">
        <v>55</v>
      </c>
      <c r="U27" s="44"/>
      <c r="V27" s="44"/>
      <c r="W27" s="44"/>
      <c r="X27" s="44">
        <v>1</v>
      </c>
      <c r="Y27" s="44"/>
      <c r="Z27" s="44"/>
      <c r="AA27" s="44"/>
      <c r="AB27" s="44"/>
      <c r="AC27" s="44"/>
      <c r="AD27" s="105">
        <v>0</v>
      </c>
      <c r="AE27" s="105">
        <v>0</v>
      </c>
      <c r="AF27" s="105">
        <v>0</v>
      </c>
      <c r="AG27" s="60">
        <f t="shared" si="1"/>
        <v>1</v>
      </c>
      <c r="AH27" s="45">
        <v>1</v>
      </c>
      <c r="AI27" s="121">
        <f t="shared" si="2"/>
        <v>2.1195421788893599E-4</v>
      </c>
    </row>
    <row r="28" spans="2:35" ht="13.5" x14ac:dyDescent="0.35">
      <c r="B28" s="81" t="s">
        <v>64</v>
      </c>
      <c r="C28" s="82"/>
      <c r="D28" s="82"/>
      <c r="E28" s="82"/>
      <c r="F28" s="82"/>
      <c r="G28" s="82"/>
      <c r="H28" s="82"/>
      <c r="I28" s="82"/>
      <c r="J28" s="82"/>
      <c r="K28" s="82">
        <v>13</v>
      </c>
      <c r="L28" s="78">
        <v>0</v>
      </c>
      <c r="M28" s="78">
        <v>0</v>
      </c>
      <c r="N28" s="78">
        <v>0</v>
      </c>
      <c r="O28" s="82">
        <v>13</v>
      </c>
      <c r="P28" s="79">
        <v>13</v>
      </c>
      <c r="Q28" s="80">
        <f t="shared" si="0"/>
        <v>3.0241700979365853E-4</v>
      </c>
      <c r="T28" s="122" t="s">
        <v>109</v>
      </c>
      <c r="U28" s="123">
        <v>323</v>
      </c>
      <c r="V28" s="123">
        <v>400</v>
      </c>
      <c r="W28" s="123">
        <v>355</v>
      </c>
      <c r="X28" s="123">
        <v>403</v>
      </c>
      <c r="Y28" s="123">
        <v>267</v>
      </c>
      <c r="Z28" s="123">
        <v>261</v>
      </c>
      <c r="AA28" s="123">
        <v>499</v>
      </c>
      <c r="AB28" s="123">
        <v>757</v>
      </c>
      <c r="AC28" s="123">
        <v>1453</v>
      </c>
      <c r="AD28" s="105">
        <v>1548.6166666666666</v>
      </c>
      <c r="AE28" s="105">
        <v>1644.2333333333333</v>
      </c>
      <c r="AF28" s="105">
        <v>1739.85</v>
      </c>
      <c r="AG28" s="60">
        <f>SUM(U28:AC28)</f>
        <v>4718</v>
      </c>
      <c r="AH28" s="45">
        <v>9650.7000000000007</v>
      </c>
      <c r="AI28" s="121">
        <f t="shared" si="2"/>
        <v>1</v>
      </c>
    </row>
    <row r="29" spans="2:35" x14ac:dyDescent="0.3">
      <c r="B29" s="83" t="s">
        <v>109</v>
      </c>
      <c r="C29" s="84">
        <v>7165</v>
      </c>
      <c r="D29" s="84">
        <v>6715</v>
      </c>
      <c r="E29" s="84">
        <v>4431</v>
      </c>
      <c r="F29" s="84">
        <v>2274</v>
      </c>
      <c r="G29" s="84">
        <v>2007</v>
      </c>
      <c r="H29" s="84">
        <v>2115</v>
      </c>
      <c r="I29" s="84">
        <v>3244</v>
      </c>
      <c r="J29" s="84">
        <v>5681</v>
      </c>
      <c r="K29" s="84">
        <v>9355</v>
      </c>
      <c r="L29" s="85"/>
      <c r="M29" s="85">
        <v>10346</v>
      </c>
      <c r="N29" s="85">
        <v>10676.333333333334</v>
      </c>
      <c r="O29" s="84">
        <v>42987</v>
      </c>
      <c r="P29" s="86">
        <v>64009.333333333336</v>
      </c>
      <c r="Q29" s="80">
        <f t="shared" si="0"/>
        <v>1</v>
      </c>
    </row>
  </sheetData>
  <conditionalFormatting sqref="Q5:Q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2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5:AI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5:AI2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6112-8712-448C-AEAD-41ABAD6B5C9F}">
  <dimension ref="A1:N54"/>
  <sheetViews>
    <sheetView workbookViewId="0">
      <selection activeCell="G22" sqref="G22"/>
    </sheetView>
  </sheetViews>
  <sheetFormatPr defaultColWidth="10.6640625" defaultRowHeight="14.25" x14ac:dyDescent="0.45"/>
  <cols>
    <col min="1" max="1" width="25" bestFit="1" customWidth="1"/>
    <col min="2" max="2" width="5.86328125" bestFit="1" customWidth="1"/>
    <col min="3" max="3" width="22.19921875" customWidth="1"/>
    <col min="7" max="7" width="21.53125" bestFit="1" customWidth="1"/>
    <col min="8" max="8" width="5" bestFit="1" customWidth="1"/>
    <col min="9" max="9" width="14.46484375" bestFit="1" customWidth="1"/>
    <col min="11" max="11" width="25" bestFit="1" customWidth="1"/>
    <col min="12" max="12" width="5" bestFit="1" customWidth="1"/>
    <col min="13" max="13" width="5.86328125" bestFit="1" customWidth="1"/>
    <col min="14" max="14" width="14.46484375" bestFit="1" customWidth="1"/>
  </cols>
  <sheetData>
    <row r="1" spans="1:14" x14ac:dyDescent="0.45">
      <c r="A1" s="148" t="s">
        <v>203</v>
      </c>
      <c r="B1" s="148"/>
      <c r="C1" s="148"/>
      <c r="G1" s="148" t="s">
        <v>204</v>
      </c>
      <c r="H1" s="148"/>
      <c r="I1" s="148"/>
      <c r="K1" s="149" t="s">
        <v>205</v>
      </c>
      <c r="L1" s="149"/>
      <c r="M1" s="149"/>
      <c r="N1" s="149"/>
    </row>
    <row r="2" spans="1:14" x14ac:dyDescent="0.45">
      <c r="A2" s="147" t="s">
        <v>114</v>
      </c>
      <c r="B2" s="139" t="s">
        <v>72</v>
      </c>
      <c r="C2" s="139" t="s">
        <v>109</v>
      </c>
      <c r="G2" s="139" t="s">
        <v>114</v>
      </c>
      <c r="H2" s="139" t="s">
        <v>71</v>
      </c>
      <c r="I2" s="139" t="s">
        <v>109</v>
      </c>
      <c r="K2" s="139" t="s">
        <v>114</v>
      </c>
      <c r="L2" s="139" t="s">
        <v>71</v>
      </c>
      <c r="M2" s="139" t="s">
        <v>72</v>
      </c>
      <c r="N2" s="139" t="s">
        <v>109</v>
      </c>
    </row>
    <row r="3" spans="1:14" x14ac:dyDescent="0.45">
      <c r="A3" s="143" t="s">
        <v>176</v>
      </c>
      <c r="B3" s="144">
        <v>76</v>
      </c>
      <c r="C3" s="144">
        <v>76</v>
      </c>
      <c r="G3" s="143" t="s">
        <v>156</v>
      </c>
      <c r="H3" s="144">
        <v>20</v>
      </c>
      <c r="I3" s="144">
        <v>20</v>
      </c>
      <c r="K3" s="150" t="s">
        <v>156</v>
      </c>
      <c r="L3" s="151">
        <v>20</v>
      </c>
      <c r="M3" s="151">
        <v>74</v>
      </c>
      <c r="N3" s="151">
        <v>94</v>
      </c>
    </row>
    <row r="4" spans="1:14" x14ac:dyDescent="0.45">
      <c r="A4" s="143" t="s">
        <v>156</v>
      </c>
      <c r="B4" s="144">
        <v>74</v>
      </c>
      <c r="C4" s="144">
        <v>74</v>
      </c>
      <c r="G4" s="143" t="s">
        <v>158</v>
      </c>
      <c r="H4" s="144">
        <v>20</v>
      </c>
      <c r="I4" s="144">
        <v>20</v>
      </c>
      <c r="K4" s="150" t="s">
        <v>176</v>
      </c>
      <c r="L4" s="151"/>
      <c r="M4" s="151">
        <v>76</v>
      </c>
      <c r="N4" s="151">
        <v>76</v>
      </c>
    </row>
    <row r="5" spans="1:14" x14ac:dyDescent="0.45">
      <c r="A5" s="143" t="s">
        <v>174</v>
      </c>
      <c r="B5" s="144">
        <v>67</v>
      </c>
      <c r="C5" s="144">
        <v>67</v>
      </c>
      <c r="G5" s="143" t="s">
        <v>178</v>
      </c>
      <c r="H5" s="144">
        <v>16</v>
      </c>
      <c r="I5" s="144">
        <v>16</v>
      </c>
      <c r="K5" s="150" t="s">
        <v>174</v>
      </c>
      <c r="L5" s="151"/>
      <c r="M5" s="151">
        <v>67</v>
      </c>
      <c r="N5" s="151">
        <v>67</v>
      </c>
    </row>
    <row r="6" spans="1:14" x14ac:dyDescent="0.45">
      <c r="A6" s="143" t="s">
        <v>168</v>
      </c>
      <c r="B6" s="144">
        <v>51</v>
      </c>
      <c r="C6" s="144">
        <v>51</v>
      </c>
      <c r="G6" s="143" t="s">
        <v>162</v>
      </c>
      <c r="H6" s="144">
        <v>6</v>
      </c>
      <c r="I6" s="144">
        <v>6</v>
      </c>
      <c r="K6" s="150" t="s">
        <v>168</v>
      </c>
      <c r="L6" s="151">
        <v>1</v>
      </c>
      <c r="M6" s="151">
        <v>51</v>
      </c>
      <c r="N6" s="151">
        <v>52</v>
      </c>
    </row>
    <row r="7" spans="1:14" x14ac:dyDescent="0.45">
      <c r="A7" s="143" t="s">
        <v>164</v>
      </c>
      <c r="B7" s="144">
        <v>47</v>
      </c>
      <c r="C7" s="144">
        <v>47</v>
      </c>
      <c r="G7" s="143" t="s">
        <v>172</v>
      </c>
      <c r="H7" s="144">
        <v>5</v>
      </c>
      <c r="I7" s="144">
        <v>5</v>
      </c>
      <c r="K7" s="150" t="s">
        <v>162</v>
      </c>
      <c r="L7" s="151">
        <v>6</v>
      </c>
      <c r="M7" s="151">
        <v>46</v>
      </c>
      <c r="N7" s="151">
        <v>52</v>
      </c>
    </row>
    <row r="8" spans="1:14" x14ac:dyDescent="0.45">
      <c r="A8" s="143" t="s">
        <v>160</v>
      </c>
      <c r="B8" s="144">
        <v>47</v>
      </c>
      <c r="C8" s="144">
        <v>47</v>
      </c>
      <c r="G8" s="143" t="s">
        <v>175</v>
      </c>
      <c r="H8" s="144">
        <v>5</v>
      </c>
      <c r="I8" s="144">
        <v>5</v>
      </c>
      <c r="K8" s="150" t="s">
        <v>155</v>
      </c>
      <c r="L8" s="151">
        <v>5</v>
      </c>
      <c r="M8" s="151">
        <v>43</v>
      </c>
      <c r="N8" s="151">
        <v>48</v>
      </c>
    </row>
    <row r="9" spans="1:14" x14ac:dyDescent="0.45">
      <c r="A9" s="143" t="s">
        <v>162</v>
      </c>
      <c r="B9" s="144">
        <v>46</v>
      </c>
      <c r="C9" s="144">
        <v>46</v>
      </c>
      <c r="G9" s="143" t="s">
        <v>155</v>
      </c>
      <c r="H9" s="144">
        <v>5</v>
      </c>
      <c r="I9" s="144">
        <v>5</v>
      </c>
      <c r="K9" s="150" t="s">
        <v>160</v>
      </c>
      <c r="L9" s="151"/>
      <c r="M9" s="151">
        <v>47</v>
      </c>
      <c r="N9" s="151">
        <v>47</v>
      </c>
    </row>
    <row r="10" spans="1:14" x14ac:dyDescent="0.45">
      <c r="A10" s="143" t="s">
        <v>169</v>
      </c>
      <c r="B10" s="144">
        <v>46</v>
      </c>
      <c r="C10" s="144">
        <v>46</v>
      </c>
      <c r="G10" s="143" t="s">
        <v>181</v>
      </c>
      <c r="H10" s="144">
        <v>3</v>
      </c>
      <c r="I10" s="144">
        <v>3</v>
      </c>
      <c r="K10" s="150" t="s">
        <v>164</v>
      </c>
      <c r="L10" s="151"/>
      <c r="M10" s="151">
        <v>47</v>
      </c>
      <c r="N10" s="151">
        <v>47</v>
      </c>
    </row>
    <row r="11" spans="1:14" x14ac:dyDescent="0.45">
      <c r="A11" s="143" t="s">
        <v>154</v>
      </c>
      <c r="B11" s="144">
        <v>46</v>
      </c>
      <c r="C11" s="144">
        <v>46</v>
      </c>
      <c r="G11" s="143" t="s">
        <v>177</v>
      </c>
      <c r="H11" s="144">
        <v>2</v>
      </c>
      <c r="I11" s="144">
        <v>2</v>
      </c>
      <c r="K11" s="150" t="s">
        <v>169</v>
      </c>
      <c r="L11" s="151"/>
      <c r="M11" s="151">
        <v>46</v>
      </c>
      <c r="N11" s="151">
        <v>46</v>
      </c>
    </row>
    <row r="12" spans="1:14" x14ac:dyDescent="0.45">
      <c r="A12" s="143" t="s">
        <v>155</v>
      </c>
      <c r="B12" s="144">
        <v>43</v>
      </c>
      <c r="C12" s="144">
        <v>43</v>
      </c>
      <c r="G12" s="143" t="s">
        <v>185</v>
      </c>
      <c r="H12" s="144">
        <v>1</v>
      </c>
      <c r="I12" s="144">
        <v>1</v>
      </c>
      <c r="K12" s="150" t="s">
        <v>154</v>
      </c>
      <c r="L12" s="151"/>
      <c r="M12" s="151">
        <v>46</v>
      </c>
      <c r="N12" s="151">
        <v>46</v>
      </c>
    </row>
    <row r="13" spans="1:14" x14ac:dyDescent="0.45">
      <c r="A13" s="141" t="s">
        <v>166</v>
      </c>
      <c r="B13" s="142">
        <v>41</v>
      </c>
      <c r="C13" s="142">
        <v>41</v>
      </c>
      <c r="G13" s="120" t="s">
        <v>179</v>
      </c>
      <c r="H13" s="44">
        <v>1</v>
      </c>
      <c r="I13" s="44">
        <v>1</v>
      </c>
      <c r="K13" s="150" t="s">
        <v>166</v>
      </c>
      <c r="L13" s="151"/>
      <c r="M13" s="151">
        <v>41</v>
      </c>
      <c r="N13" s="151">
        <v>41</v>
      </c>
    </row>
    <row r="14" spans="1:14" x14ac:dyDescent="0.45">
      <c r="A14" s="141" t="s">
        <v>159</v>
      </c>
      <c r="B14" s="142">
        <v>36</v>
      </c>
      <c r="C14" s="142">
        <v>36</v>
      </c>
      <c r="G14" s="120" t="s">
        <v>201</v>
      </c>
      <c r="H14" s="44">
        <v>1</v>
      </c>
      <c r="I14" s="44">
        <v>1</v>
      </c>
      <c r="K14" s="150" t="s">
        <v>158</v>
      </c>
      <c r="L14" s="151">
        <v>20</v>
      </c>
      <c r="M14" s="151">
        <v>21</v>
      </c>
      <c r="N14" s="151">
        <v>41</v>
      </c>
    </row>
    <row r="15" spans="1:14" x14ac:dyDescent="0.45">
      <c r="A15" s="141" t="s">
        <v>179</v>
      </c>
      <c r="B15" s="142">
        <v>34</v>
      </c>
      <c r="C15" s="142">
        <v>34</v>
      </c>
      <c r="G15" s="120" t="s">
        <v>192</v>
      </c>
      <c r="H15" s="44">
        <v>1</v>
      </c>
      <c r="I15" s="44">
        <v>1</v>
      </c>
      <c r="K15" s="150" t="s">
        <v>175</v>
      </c>
      <c r="L15" s="151">
        <v>5</v>
      </c>
      <c r="M15" s="151">
        <v>32</v>
      </c>
      <c r="N15" s="151">
        <v>37</v>
      </c>
    </row>
    <row r="16" spans="1:14" x14ac:dyDescent="0.45">
      <c r="A16" s="141" t="s">
        <v>157</v>
      </c>
      <c r="B16" s="142">
        <v>34</v>
      </c>
      <c r="C16" s="142">
        <v>34</v>
      </c>
      <c r="G16" s="120" t="s">
        <v>171</v>
      </c>
      <c r="H16" s="44">
        <v>1</v>
      </c>
      <c r="I16" s="44">
        <v>1</v>
      </c>
      <c r="K16" s="150" t="s">
        <v>159</v>
      </c>
      <c r="L16" s="151"/>
      <c r="M16" s="151">
        <v>36</v>
      </c>
      <c r="N16" s="151">
        <v>36</v>
      </c>
    </row>
    <row r="17" spans="1:14" x14ac:dyDescent="0.45">
      <c r="A17" s="141" t="s">
        <v>170</v>
      </c>
      <c r="B17" s="142">
        <v>34</v>
      </c>
      <c r="C17" s="142">
        <v>34</v>
      </c>
      <c r="G17" s="120" t="s">
        <v>168</v>
      </c>
      <c r="H17" s="44">
        <v>1</v>
      </c>
      <c r="I17" s="44">
        <v>1</v>
      </c>
      <c r="K17" s="150" t="s">
        <v>179</v>
      </c>
      <c r="L17" s="151">
        <v>1</v>
      </c>
      <c r="M17" s="151">
        <v>34</v>
      </c>
      <c r="N17" s="151">
        <v>35</v>
      </c>
    </row>
    <row r="18" spans="1:14" x14ac:dyDescent="0.45">
      <c r="A18" s="141" t="s">
        <v>185</v>
      </c>
      <c r="B18" s="142">
        <v>34</v>
      </c>
      <c r="C18" s="142">
        <v>34</v>
      </c>
      <c r="G18" s="140" t="s">
        <v>109</v>
      </c>
      <c r="H18" s="139">
        <v>88</v>
      </c>
      <c r="I18" s="139">
        <v>88</v>
      </c>
      <c r="K18" s="150" t="s">
        <v>185</v>
      </c>
      <c r="L18" s="151">
        <v>1</v>
      </c>
      <c r="M18" s="151">
        <v>34</v>
      </c>
      <c r="N18" s="151">
        <v>35</v>
      </c>
    </row>
    <row r="19" spans="1:14" x14ac:dyDescent="0.45">
      <c r="A19" s="141" t="s">
        <v>175</v>
      </c>
      <c r="B19" s="142">
        <v>32</v>
      </c>
      <c r="C19" s="142">
        <v>32</v>
      </c>
      <c r="K19" s="150" t="s">
        <v>178</v>
      </c>
      <c r="L19" s="151">
        <v>16</v>
      </c>
      <c r="M19" s="151">
        <v>18</v>
      </c>
      <c r="N19" s="151">
        <v>34</v>
      </c>
    </row>
    <row r="20" spans="1:14" x14ac:dyDescent="0.45">
      <c r="A20" s="141" t="s">
        <v>187</v>
      </c>
      <c r="B20" s="142">
        <v>30</v>
      </c>
      <c r="C20" s="142">
        <v>30</v>
      </c>
      <c r="K20" s="150" t="s">
        <v>170</v>
      </c>
      <c r="L20" s="151"/>
      <c r="M20" s="151">
        <v>34</v>
      </c>
      <c r="N20" s="151">
        <v>34</v>
      </c>
    </row>
    <row r="21" spans="1:14" x14ac:dyDescent="0.45">
      <c r="A21" s="141" t="s">
        <v>165</v>
      </c>
      <c r="B21" s="142">
        <v>26</v>
      </c>
      <c r="C21" s="142">
        <v>26</v>
      </c>
      <c r="K21" s="150" t="s">
        <v>157</v>
      </c>
      <c r="L21" s="151"/>
      <c r="M21" s="151">
        <v>34</v>
      </c>
      <c r="N21" s="151">
        <v>34</v>
      </c>
    </row>
    <row r="22" spans="1:14" x14ac:dyDescent="0.45">
      <c r="A22" s="141" t="s">
        <v>171</v>
      </c>
      <c r="B22" s="142">
        <v>22</v>
      </c>
      <c r="C22" s="142">
        <v>22</v>
      </c>
      <c r="K22" s="150" t="s">
        <v>187</v>
      </c>
      <c r="L22" s="151"/>
      <c r="M22" s="151">
        <v>30</v>
      </c>
      <c r="N22" s="151">
        <v>30</v>
      </c>
    </row>
    <row r="23" spans="1:14" x14ac:dyDescent="0.45">
      <c r="A23" s="145" t="s">
        <v>173</v>
      </c>
      <c r="B23" s="146">
        <v>21</v>
      </c>
      <c r="C23" s="146">
        <v>21</v>
      </c>
      <c r="K23" s="120" t="s">
        <v>172</v>
      </c>
      <c r="L23" s="44">
        <v>5</v>
      </c>
      <c r="M23" s="44">
        <v>21</v>
      </c>
      <c r="N23" s="44">
        <v>26</v>
      </c>
    </row>
    <row r="24" spans="1:14" x14ac:dyDescent="0.45">
      <c r="A24" s="145" t="s">
        <v>172</v>
      </c>
      <c r="B24" s="146">
        <v>21</v>
      </c>
      <c r="C24" s="146">
        <v>21</v>
      </c>
      <c r="K24" s="120" t="s">
        <v>165</v>
      </c>
      <c r="L24" s="44"/>
      <c r="M24" s="44">
        <v>26</v>
      </c>
      <c r="N24" s="44">
        <v>26</v>
      </c>
    </row>
    <row r="25" spans="1:14" x14ac:dyDescent="0.45">
      <c r="A25" s="145" t="s">
        <v>158</v>
      </c>
      <c r="B25" s="146">
        <v>21</v>
      </c>
      <c r="C25" s="146">
        <v>21</v>
      </c>
      <c r="K25" s="120" t="s">
        <v>171</v>
      </c>
      <c r="L25" s="44">
        <v>1</v>
      </c>
      <c r="M25" s="44">
        <v>22</v>
      </c>
      <c r="N25" s="44">
        <v>23</v>
      </c>
    </row>
    <row r="26" spans="1:14" x14ac:dyDescent="0.45">
      <c r="A26" s="145" t="s">
        <v>177</v>
      </c>
      <c r="B26" s="146">
        <v>19</v>
      </c>
      <c r="C26" s="146">
        <v>19</v>
      </c>
      <c r="K26" s="120" t="s">
        <v>177</v>
      </c>
      <c r="L26" s="44">
        <v>2</v>
      </c>
      <c r="M26" s="44">
        <v>19</v>
      </c>
      <c r="N26" s="44">
        <v>21</v>
      </c>
    </row>
    <row r="27" spans="1:14" x14ac:dyDescent="0.45">
      <c r="A27" s="145" t="s">
        <v>178</v>
      </c>
      <c r="B27" s="146">
        <v>18</v>
      </c>
      <c r="C27" s="146">
        <v>18</v>
      </c>
      <c r="K27" s="120" t="s">
        <v>173</v>
      </c>
      <c r="L27" s="44"/>
      <c r="M27" s="44">
        <v>21</v>
      </c>
      <c r="N27" s="44">
        <v>21</v>
      </c>
    </row>
    <row r="28" spans="1:14" x14ac:dyDescent="0.45">
      <c r="A28" s="145" t="s">
        <v>180</v>
      </c>
      <c r="B28" s="146">
        <v>17</v>
      </c>
      <c r="C28" s="146">
        <v>17</v>
      </c>
      <c r="K28" s="120" t="s">
        <v>180</v>
      </c>
      <c r="L28" s="44"/>
      <c r="M28" s="44">
        <v>17</v>
      </c>
      <c r="N28" s="44">
        <v>17</v>
      </c>
    </row>
    <row r="29" spans="1:14" x14ac:dyDescent="0.45">
      <c r="A29" s="145" t="s">
        <v>163</v>
      </c>
      <c r="B29" s="146">
        <v>15</v>
      </c>
      <c r="C29" s="146">
        <v>15</v>
      </c>
      <c r="K29" s="120" t="s">
        <v>163</v>
      </c>
      <c r="L29" s="44"/>
      <c r="M29" s="44">
        <v>15</v>
      </c>
      <c r="N29" s="44">
        <v>15</v>
      </c>
    </row>
    <row r="30" spans="1:14" x14ac:dyDescent="0.45">
      <c r="A30" s="145" t="s">
        <v>86</v>
      </c>
      <c r="B30" s="146">
        <v>14</v>
      </c>
      <c r="C30" s="146">
        <v>14</v>
      </c>
      <c r="K30" s="120" t="s">
        <v>181</v>
      </c>
      <c r="L30" s="44">
        <v>3</v>
      </c>
      <c r="M30" s="44">
        <v>12</v>
      </c>
      <c r="N30" s="44">
        <v>15</v>
      </c>
    </row>
    <row r="31" spans="1:14" x14ac:dyDescent="0.45">
      <c r="A31" s="145" t="s">
        <v>161</v>
      </c>
      <c r="B31" s="146">
        <v>14</v>
      </c>
      <c r="C31" s="146">
        <v>14</v>
      </c>
      <c r="K31" s="120" t="s">
        <v>161</v>
      </c>
      <c r="L31" s="44"/>
      <c r="M31" s="44">
        <v>14</v>
      </c>
      <c r="N31" s="44">
        <v>14</v>
      </c>
    </row>
    <row r="32" spans="1:14" x14ac:dyDescent="0.45">
      <c r="A32" s="145" t="s">
        <v>181</v>
      </c>
      <c r="B32" s="146">
        <v>12</v>
      </c>
      <c r="C32" s="146">
        <v>12</v>
      </c>
      <c r="K32" s="120" t="s">
        <v>86</v>
      </c>
      <c r="L32" s="44"/>
      <c r="M32" s="44">
        <v>14</v>
      </c>
      <c r="N32" s="44">
        <v>14</v>
      </c>
    </row>
    <row r="33" spans="1:14" x14ac:dyDescent="0.45">
      <c r="A33" s="145" t="s">
        <v>183</v>
      </c>
      <c r="B33" s="146">
        <v>10</v>
      </c>
      <c r="C33" s="146">
        <v>10</v>
      </c>
      <c r="K33" s="120" t="s">
        <v>183</v>
      </c>
      <c r="L33" s="44"/>
      <c r="M33" s="44">
        <v>10</v>
      </c>
      <c r="N33" s="44">
        <v>10</v>
      </c>
    </row>
    <row r="34" spans="1:14" x14ac:dyDescent="0.45">
      <c r="A34" s="145" t="s">
        <v>193</v>
      </c>
      <c r="B34" s="146">
        <v>6</v>
      </c>
      <c r="C34" s="146">
        <v>6</v>
      </c>
      <c r="K34" s="120" t="s">
        <v>193</v>
      </c>
      <c r="L34" s="44"/>
      <c r="M34" s="44">
        <v>6</v>
      </c>
      <c r="N34" s="44">
        <v>6</v>
      </c>
    </row>
    <row r="35" spans="1:14" x14ac:dyDescent="0.45">
      <c r="A35" s="145" t="s">
        <v>191</v>
      </c>
      <c r="B35" s="146">
        <v>3</v>
      </c>
      <c r="C35" s="146">
        <v>3</v>
      </c>
      <c r="K35" s="120" t="s">
        <v>191</v>
      </c>
      <c r="L35" s="44"/>
      <c r="M35" s="44">
        <v>3</v>
      </c>
      <c r="N35" s="44">
        <v>3</v>
      </c>
    </row>
    <row r="36" spans="1:14" x14ac:dyDescent="0.45">
      <c r="A36" s="145" t="s">
        <v>194</v>
      </c>
      <c r="B36" s="146">
        <v>2</v>
      </c>
      <c r="C36" s="146">
        <v>2</v>
      </c>
      <c r="K36" s="120" t="s">
        <v>192</v>
      </c>
      <c r="L36" s="44">
        <v>1</v>
      </c>
      <c r="M36" s="44">
        <v>1</v>
      </c>
      <c r="N36" s="44">
        <v>2</v>
      </c>
    </row>
    <row r="37" spans="1:14" x14ac:dyDescent="0.45">
      <c r="A37" s="145" t="s">
        <v>198</v>
      </c>
      <c r="B37" s="146">
        <v>2</v>
      </c>
      <c r="C37" s="146">
        <v>2</v>
      </c>
      <c r="K37" s="120" t="s">
        <v>167</v>
      </c>
      <c r="L37" s="44"/>
      <c r="M37" s="44">
        <v>2</v>
      </c>
      <c r="N37" s="44">
        <v>2</v>
      </c>
    </row>
    <row r="38" spans="1:14" x14ac:dyDescent="0.45">
      <c r="A38" s="145" t="s">
        <v>167</v>
      </c>
      <c r="B38" s="146">
        <v>2</v>
      </c>
      <c r="C38" s="146">
        <v>2</v>
      </c>
      <c r="K38" s="120" t="s">
        <v>199</v>
      </c>
      <c r="L38" s="44"/>
      <c r="M38" s="44">
        <v>2</v>
      </c>
      <c r="N38" s="44">
        <v>2</v>
      </c>
    </row>
    <row r="39" spans="1:14" x14ac:dyDescent="0.45">
      <c r="A39" s="145" t="s">
        <v>199</v>
      </c>
      <c r="B39" s="146">
        <v>2</v>
      </c>
      <c r="C39" s="146">
        <v>2</v>
      </c>
      <c r="K39" s="120" t="s">
        <v>194</v>
      </c>
      <c r="L39" s="44"/>
      <c r="M39" s="44">
        <v>2</v>
      </c>
      <c r="N39" s="44">
        <v>2</v>
      </c>
    </row>
    <row r="40" spans="1:14" x14ac:dyDescent="0.45">
      <c r="A40" s="145" t="s">
        <v>186</v>
      </c>
      <c r="B40" s="146">
        <v>2</v>
      </c>
      <c r="C40" s="146">
        <v>2</v>
      </c>
      <c r="K40" s="120" t="s">
        <v>198</v>
      </c>
      <c r="L40" s="44"/>
      <c r="M40" s="44">
        <v>2</v>
      </c>
      <c r="N40" s="44">
        <v>2</v>
      </c>
    </row>
    <row r="41" spans="1:14" x14ac:dyDescent="0.45">
      <c r="A41" s="145" t="s">
        <v>182</v>
      </c>
      <c r="B41" s="146">
        <v>1</v>
      </c>
      <c r="C41" s="146">
        <v>1</v>
      </c>
      <c r="K41" s="120" t="s">
        <v>186</v>
      </c>
      <c r="L41" s="44"/>
      <c r="M41" s="44">
        <v>2</v>
      </c>
      <c r="N41" s="44">
        <v>2</v>
      </c>
    </row>
    <row r="42" spans="1:14" x14ac:dyDescent="0.45">
      <c r="A42" s="145" t="s">
        <v>197</v>
      </c>
      <c r="B42" s="146">
        <v>1</v>
      </c>
      <c r="C42" s="146">
        <v>1</v>
      </c>
      <c r="K42" s="120" t="s">
        <v>88</v>
      </c>
      <c r="L42" s="44"/>
      <c r="M42" s="44">
        <v>1</v>
      </c>
      <c r="N42" s="44">
        <v>1</v>
      </c>
    </row>
    <row r="43" spans="1:14" x14ac:dyDescent="0.45">
      <c r="A43" s="145" t="s">
        <v>190</v>
      </c>
      <c r="B43" s="146">
        <v>1</v>
      </c>
      <c r="C43" s="146">
        <v>1</v>
      </c>
      <c r="K43" s="120" t="s">
        <v>184</v>
      </c>
      <c r="L43" s="44"/>
      <c r="M43" s="44">
        <v>1</v>
      </c>
      <c r="N43" s="44">
        <v>1</v>
      </c>
    </row>
    <row r="44" spans="1:14" x14ac:dyDescent="0.45">
      <c r="A44" s="145" t="s">
        <v>88</v>
      </c>
      <c r="B44" s="146">
        <v>1</v>
      </c>
      <c r="C44" s="146">
        <v>1</v>
      </c>
      <c r="K44" s="120" t="s">
        <v>188</v>
      </c>
      <c r="L44" s="44"/>
      <c r="M44" s="44">
        <v>1</v>
      </c>
      <c r="N44" s="44">
        <v>1</v>
      </c>
    </row>
    <row r="45" spans="1:14" x14ac:dyDescent="0.45">
      <c r="A45" s="145" t="s">
        <v>200</v>
      </c>
      <c r="B45" s="146">
        <v>1</v>
      </c>
      <c r="C45" s="146">
        <v>1</v>
      </c>
      <c r="K45" s="120" t="s">
        <v>197</v>
      </c>
      <c r="L45" s="44"/>
      <c r="M45" s="44">
        <v>1</v>
      </c>
      <c r="N45" s="44">
        <v>1</v>
      </c>
    </row>
    <row r="46" spans="1:14" x14ac:dyDescent="0.45">
      <c r="A46" s="145" t="s">
        <v>188</v>
      </c>
      <c r="B46" s="146">
        <v>1</v>
      </c>
      <c r="C46" s="146">
        <v>1</v>
      </c>
      <c r="K46" s="120" t="s">
        <v>189</v>
      </c>
      <c r="L46" s="44"/>
      <c r="M46" s="44">
        <v>1</v>
      </c>
      <c r="N46" s="44">
        <v>1</v>
      </c>
    </row>
    <row r="47" spans="1:14" x14ac:dyDescent="0.45">
      <c r="A47" s="145" t="s">
        <v>202</v>
      </c>
      <c r="B47" s="146">
        <v>1</v>
      </c>
      <c r="C47" s="146">
        <v>1</v>
      </c>
      <c r="K47" s="120" t="s">
        <v>182</v>
      </c>
      <c r="L47" s="44"/>
      <c r="M47" s="44">
        <v>1</v>
      </c>
      <c r="N47" s="44">
        <v>1</v>
      </c>
    </row>
    <row r="48" spans="1:14" x14ac:dyDescent="0.45">
      <c r="A48" s="145" t="s">
        <v>184</v>
      </c>
      <c r="B48" s="146">
        <v>1</v>
      </c>
      <c r="C48" s="146">
        <v>1</v>
      </c>
      <c r="K48" s="120" t="s">
        <v>200</v>
      </c>
      <c r="L48" s="44"/>
      <c r="M48" s="44">
        <v>1</v>
      </c>
      <c r="N48" s="44">
        <v>1</v>
      </c>
    </row>
    <row r="49" spans="1:14" x14ac:dyDescent="0.45">
      <c r="A49" s="145" t="s">
        <v>192</v>
      </c>
      <c r="B49" s="146">
        <v>1</v>
      </c>
      <c r="C49" s="146">
        <v>1</v>
      </c>
      <c r="K49" s="120" t="s">
        <v>190</v>
      </c>
      <c r="L49" s="44"/>
      <c r="M49" s="44">
        <v>1</v>
      </c>
      <c r="N49" s="44">
        <v>1</v>
      </c>
    </row>
    <row r="50" spans="1:14" x14ac:dyDescent="0.45">
      <c r="A50" s="145" t="s">
        <v>189</v>
      </c>
      <c r="B50" s="146">
        <v>1</v>
      </c>
      <c r="C50" s="146">
        <v>1</v>
      </c>
      <c r="K50" s="120" t="s">
        <v>195</v>
      </c>
      <c r="L50" s="44"/>
      <c r="M50" s="44">
        <v>1</v>
      </c>
      <c r="N50" s="44">
        <v>1</v>
      </c>
    </row>
    <row r="51" spans="1:14" x14ac:dyDescent="0.45">
      <c r="A51" s="145" t="s">
        <v>195</v>
      </c>
      <c r="B51" s="146">
        <v>1</v>
      </c>
      <c r="C51" s="146">
        <v>1</v>
      </c>
      <c r="K51" s="120" t="s">
        <v>202</v>
      </c>
      <c r="L51" s="44"/>
      <c r="M51" s="44">
        <v>1</v>
      </c>
      <c r="N51" s="44">
        <v>1</v>
      </c>
    </row>
    <row r="52" spans="1:14" x14ac:dyDescent="0.45">
      <c r="A52" s="145" t="s">
        <v>196</v>
      </c>
      <c r="B52" s="146">
        <v>1</v>
      </c>
      <c r="C52" s="146">
        <v>1</v>
      </c>
      <c r="K52" s="120" t="s">
        <v>201</v>
      </c>
      <c r="L52" s="44">
        <v>1</v>
      </c>
      <c r="M52" s="44"/>
      <c r="N52" s="44">
        <v>1</v>
      </c>
    </row>
    <row r="53" spans="1:14" x14ac:dyDescent="0.45">
      <c r="A53" s="140" t="s">
        <v>109</v>
      </c>
      <c r="B53" s="139">
        <v>1079</v>
      </c>
      <c r="C53" s="139">
        <v>1079</v>
      </c>
      <c r="K53" s="120" t="s">
        <v>196</v>
      </c>
      <c r="L53" s="44"/>
      <c r="M53" s="44">
        <v>1</v>
      </c>
      <c r="N53" s="44">
        <v>1</v>
      </c>
    </row>
    <row r="54" spans="1:14" x14ac:dyDescent="0.45">
      <c r="K54" s="140" t="s">
        <v>109</v>
      </c>
      <c r="L54" s="139">
        <v>88</v>
      </c>
      <c r="M54" s="139">
        <v>1079</v>
      </c>
      <c r="N54" s="139">
        <v>1167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92ED-477F-4BCD-838B-60C18BF10F50}">
  <dimension ref="B1:P38"/>
  <sheetViews>
    <sheetView zoomScale="80" zoomScaleNormal="80" workbookViewId="0">
      <selection activeCell="Q13" sqref="Q13"/>
    </sheetView>
  </sheetViews>
  <sheetFormatPr defaultColWidth="10.6640625" defaultRowHeight="14.25" x14ac:dyDescent="0.45"/>
  <cols>
    <col min="2" max="2" width="21.796875" bestFit="1" customWidth="1"/>
    <col min="3" max="3" width="4.46484375" bestFit="1" customWidth="1"/>
    <col min="4" max="4" width="5.46484375" bestFit="1" customWidth="1"/>
    <col min="5" max="5" width="12.46484375" bestFit="1" customWidth="1"/>
    <col min="8" max="8" width="26.53125" bestFit="1" customWidth="1"/>
    <col min="9" max="9" width="28.33203125" bestFit="1" customWidth="1"/>
    <col min="10" max="10" width="5.46484375" bestFit="1" customWidth="1"/>
    <col min="11" max="11" width="15" bestFit="1" customWidth="1"/>
    <col min="13" max="13" width="21.19921875" bestFit="1" customWidth="1"/>
    <col min="14" max="14" width="4.46484375" bestFit="1" customWidth="1"/>
    <col min="15" max="15" width="4.33203125" bestFit="1" customWidth="1"/>
    <col min="16" max="16" width="12.46484375" bestFit="1" customWidth="1"/>
  </cols>
  <sheetData>
    <row r="1" spans="2:16" x14ac:dyDescent="0.45">
      <c r="B1" s="128" t="s">
        <v>115</v>
      </c>
      <c r="C1" s="128"/>
      <c r="D1" s="128"/>
      <c r="E1" s="128"/>
      <c r="H1" s="128" t="s">
        <v>116</v>
      </c>
      <c r="I1" s="128"/>
      <c r="J1" s="128"/>
      <c r="K1" s="128"/>
      <c r="M1" s="128" t="s">
        <v>117</v>
      </c>
      <c r="N1" s="128"/>
      <c r="O1" s="128"/>
      <c r="P1" s="128"/>
    </row>
    <row r="2" spans="2:16" x14ac:dyDescent="0.45">
      <c r="B2" s="129" t="s">
        <v>118</v>
      </c>
      <c r="C2" s="130" t="s">
        <v>71</v>
      </c>
      <c r="D2" s="130" t="s">
        <v>72</v>
      </c>
      <c r="E2" s="131" t="s">
        <v>109</v>
      </c>
      <c r="H2" s="129" t="s">
        <v>118</v>
      </c>
      <c r="I2" s="131" t="s">
        <v>71</v>
      </c>
      <c r="J2" s="131" t="s">
        <v>72</v>
      </c>
      <c r="K2" s="131" t="s">
        <v>109</v>
      </c>
      <c r="M2" s="129" t="s">
        <v>118</v>
      </c>
      <c r="N2" s="131" t="s">
        <v>71</v>
      </c>
      <c r="O2" s="131" t="s">
        <v>72</v>
      </c>
      <c r="P2" s="131" t="s">
        <v>109</v>
      </c>
    </row>
    <row r="3" spans="2:16" x14ac:dyDescent="0.45">
      <c r="B3" s="132" t="s">
        <v>119</v>
      </c>
      <c r="C3" s="133"/>
      <c r="D3" s="133">
        <v>67</v>
      </c>
      <c r="E3" s="133">
        <v>67</v>
      </c>
      <c r="H3" s="132" t="s">
        <v>119</v>
      </c>
      <c r="I3" s="133"/>
      <c r="J3" s="133">
        <v>67</v>
      </c>
      <c r="K3" s="133">
        <v>67</v>
      </c>
      <c r="M3" s="132" t="s">
        <v>120</v>
      </c>
      <c r="N3" s="133">
        <v>21</v>
      </c>
      <c r="O3" s="133">
        <v>25</v>
      </c>
      <c r="P3" s="133">
        <v>46</v>
      </c>
    </row>
    <row r="4" spans="2:16" x14ac:dyDescent="0.45">
      <c r="B4" s="132" t="s">
        <v>121</v>
      </c>
      <c r="C4" s="133">
        <v>19</v>
      </c>
      <c r="D4" s="133">
        <v>35</v>
      </c>
      <c r="E4" s="133">
        <v>54</v>
      </c>
      <c r="H4" s="132" t="s">
        <v>122</v>
      </c>
      <c r="I4" s="133">
        <v>6</v>
      </c>
      <c r="J4" s="133">
        <v>46</v>
      </c>
      <c r="K4" s="133">
        <v>52</v>
      </c>
      <c r="M4" s="132" t="s">
        <v>121</v>
      </c>
      <c r="N4" s="133">
        <v>19</v>
      </c>
      <c r="O4" s="133">
        <v>35</v>
      </c>
      <c r="P4" s="133">
        <v>54</v>
      </c>
    </row>
    <row r="5" spans="2:16" x14ac:dyDescent="0.45">
      <c r="B5" s="132" t="s">
        <v>122</v>
      </c>
      <c r="C5" s="133">
        <v>6</v>
      </c>
      <c r="D5" s="133">
        <v>46</v>
      </c>
      <c r="E5" s="133">
        <v>52</v>
      </c>
      <c r="H5" s="132" t="s">
        <v>123</v>
      </c>
      <c r="I5" s="133">
        <v>1</v>
      </c>
      <c r="J5" s="133">
        <v>51</v>
      </c>
      <c r="K5" s="133">
        <v>52</v>
      </c>
      <c r="M5" s="132" t="s">
        <v>124</v>
      </c>
      <c r="N5" s="133">
        <v>16</v>
      </c>
      <c r="O5" s="133">
        <v>18</v>
      </c>
      <c r="P5" s="133">
        <v>34</v>
      </c>
    </row>
    <row r="6" spans="2:16" x14ac:dyDescent="0.45">
      <c r="B6" s="132" t="s">
        <v>123</v>
      </c>
      <c r="C6" s="133">
        <v>1</v>
      </c>
      <c r="D6" s="133">
        <v>51</v>
      </c>
      <c r="E6" s="133">
        <v>52</v>
      </c>
      <c r="H6" s="132" t="s">
        <v>125</v>
      </c>
      <c r="I6" s="133">
        <v>5</v>
      </c>
      <c r="J6" s="133">
        <v>43</v>
      </c>
      <c r="K6" s="133">
        <v>48</v>
      </c>
      <c r="M6" s="132" t="s">
        <v>122</v>
      </c>
      <c r="N6" s="133">
        <v>6</v>
      </c>
      <c r="O6" s="133">
        <v>46</v>
      </c>
      <c r="P6" s="133">
        <v>52</v>
      </c>
    </row>
    <row r="7" spans="2:16" x14ac:dyDescent="0.45">
      <c r="B7" s="132" t="s">
        <v>125</v>
      </c>
      <c r="C7" s="133">
        <v>5</v>
      </c>
      <c r="D7" s="133">
        <v>43</v>
      </c>
      <c r="E7" s="133">
        <v>48</v>
      </c>
      <c r="H7" s="132" t="s">
        <v>126</v>
      </c>
      <c r="I7" s="133"/>
      <c r="J7" s="133">
        <v>47</v>
      </c>
      <c r="K7" s="133">
        <v>47</v>
      </c>
      <c r="M7" s="132" t="s">
        <v>125</v>
      </c>
      <c r="N7" s="133">
        <v>5</v>
      </c>
      <c r="O7" s="133">
        <v>43</v>
      </c>
      <c r="P7" s="133">
        <v>48</v>
      </c>
    </row>
    <row r="8" spans="2:16" x14ac:dyDescent="0.45">
      <c r="B8" s="132" t="s">
        <v>126</v>
      </c>
      <c r="C8" s="133"/>
      <c r="D8" s="133">
        <v>47</v>
      </c>
      <c r="E8" s="133">
        <v>47</v>
      </c>
      <c r="H8" s="132" t="s">
        <v>127</v>
      </c>
      <c r="I8" s="133"/>
      <c r="J8" s="133">
        <v>46</v>
      </c>
      <c r="K8" s="133">
        <v>46</v>
      </c>
      <c r="M8" s="132" t="s">
        <v>128</v>
      </c>
      <c r="N8" s="133">
        <v>5</v>
      </c>
      <c r="O8" s="133">
        <v>38</v>
      </c>
      <c r="P8" s="133">
        <v>43</v>
      </c>
    </row>
    <row r="9" spans="2:16" x14ac:dyDescent="0.45">
      <c r="B9" s="132" t="s">
        <v>127</v>
      </c>
      <c r="C9" s="133"/>
      <c r="D9" s="133">
        <v>46</v>
      </c>
      <c r="E9" s="133">
        <v>46</v>
      </c>
      <c r="H9" s="132" t="s">
        <v>129</v>
      </c>
      <c r="I9" s="133"/>
      <c r="J9" s="133">
        <v>46</v>
      </c>
      <c r="K9" s="133">
        <v>46</v>
      </c>
      <c r="M9" s="132" t="s">
        <v>130</v>
      </c>
      <c r="N9" s="133">
        <v>5</v>
      </c>
      <c r="O9" s="133">
        <v>32</v>
      </c>
      <c r="P9" s="133">
        <v>37</v>
      </c>
    </row>
    <row r="10" spans="2:16" x14ac:dyDescent="0.45">
      <c r="B10" s="132" t="s">
        <v>120</v>
      </c>
      <c r="C10" s="133">
        <v>21</v>
      </c>
      <c r="D10" s="133">
        <v>25</v>
      </c>
      <c r="E10" s="133">
        <v>46</v>
      </c>
      <c r="H10" s="132" t="s">
        <v>131</v>
      </c>
      <c r="I10" s="133"/>
      <c r="J10" s="133">
        <v>45</v>
      </c>
      <c r="K10" s="133">
        <v>45</v>
      </c>
      <c r="M10" s="132" t="s">
        <v>132</v>
      </c>
      <c r="N10" s="133">
        <v>5</v>
      </c>
      <c r="O10" s="133">
        <v>21</v>
      </c>
      <c r="P10" s="133">
        <v>26</v>
      </c>
    </row>
    <row r="11" spans="2:16" x14ac:dyDescent="0.45">
      <c r="B11" s="132" t="s">
        <v>129</v>
      </c>
      <c r="C11" s="133"/>
      <c r="D11" s="133">
        <v>46</v>
      </c>
      <c r="E11" s="133">
        <v>46</v>
      </c>
      <c r="H11" s="132" t="s">
        <v>133</v>
      </c>
      <c r="I11" s="133"/>
      <c r="J11" s="133">
        <v>45</v>
      </c>
      <c r="K11" s="133">
        <v>45</v>
      </c>
      <c r="M11" s="132" t="s">
        <v>134</v>
      </c>
      <c r="N11" s="133">
        <v>2</v>
      </c>
      <c r="O11" s="133">
        <v>27</v>
      </c>
      <c r="P11" s="133">
        <v>29</v>
      </c>
    </row>
    <row r="12" spans="2:16" x14ac:dyDescent="0.45">
      <c r="B12" s="132" t="s">
        <v>131</v>
      </c>
      <c r="C12" s="133"/>
      <c r="D12" s="133">
        <v>45</v>
      </c>
      <c r="E12" s="133">
        <v>45</v>
      </c>
      <c r="H12" s="132" t="s">
        <v>135</v>
      </c>
      <c r="I12" s="133">
        <v>1</v>
      </c>
      <c r="J12" s="133">
        <v>39</v>
      </c>
      <c r="K12" s="133">
        <v>40</v>
      </c>
      <c r="M12" s="132" t="s">
        <v>123</v>
      </c>
      <c r="N12" s="133">
        <v>1</v>
      </c>
      <c r="O12" s="133">
        <v>51</v>
      </c>
      <c r="P12" s="133">
        <v>52</v>
      </c>
    </row>
    <row r="13" spans="2:16" x14ac:dyDescent="0.45">
      <c r="B13" s="132" t="s">
        <v>133</v>
      </c>
      <c r="C13" s="133"/>
      <c r="D13" s="133">
        <v>45</v>
      </c>
      <c r="E13" s="133">
        <v>45</v>
      </c>
      <c r="M13" s="134"/>
      <c r="N13" s="135"/>
      <c r="O13" s="135"/>
      <c r="P13" s="135"/>
    </row>
    <row r="14" spans="2:16" x14ac:dyDescent="0.45">
      <c r="B14" s="132" t="s">
        <v>128</v>
      </c>
      <c r="C14" s="133">
        <v>5</v>
      </c>
      <c r="D14" s="133">
        <v>38</v>
      </c>
      <c r="E14" s="133">
        <v>43</v>
      </c>
      <c r="M14" s="134"/>
      <c r="N14" s="135"/>
      <c r="O14" s="135"/>
      <c r="P14" s="135"/>
    </row>
    <row r="15" spans="2:16" x14ac:dyDescent="0.45">
      <c r="B15" s="132" t="s">
        <v>135</v>
      </c>
      <c r="C15" s="133">
        <v>1</v>
      </c>
      <c r="D15" s="133">
        <v>39</v>
      </c>
      <c r="E15" s="133">
        <v>40</v>
      </c>
      <c r="M15" s="134"/>
      <c r="N15" s="135"/>
      <c r="O15" s="135"/>
      <c r="P15" s="135"/>
    </row>
    <row r="16" spans="2:16" x14ac:dyDescent="0.45">
      <c r="B16" s="132" t="s">
        <v>136</v>
      </c>
      <c r="C16" s="133"/>
      <c r="D16" s="133">
        <v>38</v>
      </c>
      <c r="E16" s="133">
        <v>38</v>
      </c>
      <c r="M16" s="136"/>
      <c r="N16" s="137"/>
      <c r="O16" s="137"/>
      <c r="P16" s="137"/>
    </row>
    <row r="17" spans="2:5" x14ac:dyDescent="0.45">
      <c r="B17" s="132" t="s">
        <v>137</v>
      </c>
      <c r="C17" s="133"/>
      <c r="D17" s="133">
        <v>38</v>
      </c>
      <c r="E17" s="133">
        <v>38</v>
      </c>
    </row>
    <row r="18" spans="2:5" x14ac:dyDescent="0.45">
      <c r="B18" s="132" t="s">
        <v>130</v>
      </c>
      <c r="C18" s="133">
        <v>5</v>
      </c>
      <c r="D18" s="133">
        <v>32</v>
      </c>
      <c r="E18" s="133">
        <v>37</v>
      </c>
    </row>
    <row r="19" spans="2:5" x14ac:dyDescent="0.45">
      <c r="B19" s="132" t="s">
        <v>138</v>
      </c>
      <c r="C19" s="133"/>
      <c r="D19" s="133">
        <v>36</v>
      </c>
      <c r="E19" s="133">
        <v>36</v>
      </c>
    </row>
    <row r="20" spans="2:5" x14ac:dyDescent="0.45">
      <c r="B20" s="132" t="s">
        <v>139</v>
      </c>
      <c r="C20" s="133"/>
      <c r="D20" s="133">
        <v>35</v>
      </c>
      <c r="E20" s="133">
        <v>35</v>
      </c>
    </row>
    <row r="21" spans="2:5" x14ac:dyDescent="0.45">
      <c r="B21" s="132" t="s">
        <v>140</v>
      </c>
      <c r="C21" s="133">
        <v>1</v>
      </c>
      <c r="D21" s="133">
        <v>34</v>
      </c>
      <c r="E21" s="133">
        <v>35</v>
      </c>
    </row>
    <row r="22" spans="2:5" x14ac:dyDescent="0.45">
      <c r="B22" s="132" t="s">
        <v>141</v>
      </c>
      <c r="C22" s="133">
        <v>1</v>
      </c>
      <c r="D22" s="133">
        <v>34</v>
      </c>
      <c r="E22" s="133">
        <v>35</v>
      </c>
    </row>
    <row r="23" spans="2:5" x14ac:dyDescent="0.45">
      <c r="B23" s="132" t="s">
        <v>124</v>
      </c>
      <c r="C23" s="133">
        <v>16</v>
      </c>
      <c r="D23" s="133">
        <v>18</v>
      </c>
      <c r="E23" s="133">
        <v>34</v>
      </c>
    </row>
    <row r="24" spans="2:5" x14ac:dyDescent="0.45">
      <c r="B24" s="132" t="s">
        <v>142</v>
      </c>
      <c r="C24" s="133"/>
      <c r="D24" s="133">
        <v>34</v>
      </c>
      <c r="E24" s="133">
        <v>34</v>
      </c>
    </row>
    <row r="25" spans="2:5" x14ac:dyDescent="0.45">
      <c r="B25" s="132" t="s">
        <v>143</v>
      </c>
      <c r="C25" s="133"/>
      <c r="D25" s="133">
        <v>32</v>
      </c>
      <c r="E25" s="133">
        <v>32</v>
      </c>
    </row>
    <row r="26" spans="2:5" x14ac:dyDescent="0.45">
      <c r="B26" s="132" t="s">
        <v>144</v>
      </c>
      <c r="C26" s="133"/>
      <c r="D26" s="133">
        <v>30</v>
      </c>
      <c r="E26" s="133">
        <v>30</v>
      </c>
    </row>
    <row r="27" spans="2:5" x14ac:dyDescent="0.45">
      <c r="B27" s="132" t="s">
        <v>145</v>
      </c>
      <c r="C27" s="133"/>
      <c r="D27" s="133">
        <v>30</v>
      </c>
      <c r="E27" s="133">
        <v>30</v>
      </c>
    </row>
    <row r="28" spans="2:5" x14ac:dyDescent="0.45">
      <c r="B28" s="132" t="s">
        <v>134</v>
      </c>
      <c r="C28" s="133">
        <v>2</v>
      </c>
      <c r="D28" s="133">
        <v>27</v>
      </c>
      <c r="E28" s="133">
        <v>29</v>
      </c>
    </row>
    <row r="29" spans="2:5" x14ac:dyDescent="0.45">
      <c r="B29" s="132" t="s">
        <v>146</v>
      </c>
      <c r="C29" s="133"/>
      <c r="D29" s="133">
        <v>26</v>
      </c>
      <c r="E29" s="133">
        <v>26</v>
      </c>
    </row>
    <row r="30" spans="2:5" x14ac:dyDescent="0.45">
      <c r="B30" s="132" t="s">
        <v>132</v>
      </c>
      <c r="C30" s="133">
        <v>5</v>
      </c>
      <c r="D30" s="133">
        <v>21</v>
      </c>
      <c r="E30" s="133">
        <v>26</v>
      </c>
    </row>
    <row r="31" spans="2:5" x14ac:dyDescent="0.45">
      <c r="B31" s="132" t="s">
        <v>147</v>
      </c>
      <c r="C31" s="133"/>
      <c r="D31" s="133">
        <v>21</v>
      </c>
      <c r="E31" s="133">
        <v>21</v>
      </c>
    </row>
    <row r="32" spans="2:5" x14ac:dyDescent="0.45">
      <c r="B32" s="132" t="s">
        <v>148</v>
      </c>
      <c r="C32" s="133"/>
      <c r="D32" s="133">
        <v>10</v>
      </c>
      <c r="E32" s="133">
        <v>10</v>
      </c>
    </row>
    <row r="33" spans="2:5" x14ac:dyDescent="0.45">
      <c r="B33" s="132" t="s">
        <v>149</v>
      </c>
      <c r="C33" s="133"/>
      <c r="D33" s="133">
        <v>6</v>
      </c>
      <c r="E33" s="133">
        <v>6</v>
      </c>
    </row>
    <row r="34" spans="2:5" x14ac:dyDescent="0.45">
      <c r="B34" s="132" t="s">
        <v>150</v>
      </c>
      <c r="C34" s="133"/>
      <c r="D34" s="133">
        <v>1</v>
      </c>
      <c r="E34" s="133">
        <v>1</v>
      </c>
    </row>
    <row r="35" spans="2:5" x14ac:dyDescent="0.45">
      <c r="B35" s="132" t="s">
        <v>151</v>
      </c>
      <c r="C35" s="133"/>
      <c r="D35" s="133">
        <v>1</v>
      </c>
      <c r="E35" s="133">
        <v>1</v>
      </c>
    </row>
    <row r="36" spans="2:5" x14ac:dyDescent="0.45">
      <c r="B36" s="132" t="s">
        <v>152</v>
      </c>
      <c r="C36" s="133"/>
      <c r="D36" s="133">
        <v>1</v>
      </c>
      <c r="E36" s="133">
        <v>1</v>
      </c>
    </row>
    <row r="37" spans="2:5" x14ac:dyDescent="0.45">
      <c r="B37" s="132" t="s">
        <v>153</v>
      </c>
      <c r="C37" s="133"/>
      <c r="D37" s="133">
        <v>1</v>
      </c>
      <c r="E37" s="133">
        <v>1</v>
      </c>
    </row>
    <row r="38" spans="2:5" x14ac:dyDescent="0.45">
      <c r="B38" s="138" t="s">
        <v>109</v>
      </c>
      <c r="C38" s="131">
        <v>88</v>
      </c>
      <c r="D38" s="131">
        <v>1079</v>
      </c>
      <c r="E38" s="131">
        <v>1167</v>
      </c>
    </row>
  </sheetData>
  <conditionalFormatting sqref="E3:E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1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:N3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4FA4-B220-422A-BBDA-9B71439AD067}">
  <dimension ref="A1:L20"/>
  <sheetViews>
    <sheetView tabSelected="1" workbookViewId="0">
      <selection activeCell="H27" sqref="H27"/>
    </sheetView>
  </sheetViews>
  <sheetFormatPr defaultColWidth="10.6640625" defaultRowHeight="14.25" x14ac:dyDescent="0.45"/>
  <cols>
    <col min="1" max="1" width="20.53125" bestFit="1" customWidth="1"/>
    <col min="2" max="2" width="12.796875" bestFit="1" customWidth="1"/>
    <col min="3" max="3" width="19.86328125" bestFit="1" customWidth="1"/>
    <col min="4" max="4" width="5" bestFit="1" customWidth="1"/>
    <col min="5" max="5" width="4.86328125" bestFit="1" customWidth="1"/>
    <col min="6" max="6" width="7.1328125" bestFit="1" customWidth="1"/>
    <col min="7" max="7" width="10.33203125" bestFit="1" customWidth="1"/>
    <col min="8" max="8" width="12.53125" bestFit="1" customWidth="1"/>
    <col min="9" max="9" width="12.86328125" bestFit="1" customWidth="1"/>
    <col min="10" max="10" width="13.33203125" bestFit="1" customWidth="1"/>
    <col min="11" max="11" width="21" bestFit="1" customWidth="1"/>
    <col min="12" max="12" width="12.33203125" bestFit="1" customWidth="1"/>
  </cols>
  <sheetData>
    <row r="1" spans="1:12" x14ac:dyDescent="0.45">
      <c r="A1" s="25" t="s">
        <v>65</v>
      </c>
      <c r="B1" s="25" t="s">
        <v>66</v>
      </c>
      <c r="C1" s="25" t="s">
        <v>67</v>
      </c>
      <c r="D1" s="26" t="s">
        <v>68</v>
      </c>
      <c r="E1" s="26"/>
      <c r="F1" s="27" t="s">
        <v>66</v>
      </c>
      <c r="G1" s="26"/>
      <c r="H1" s="28" t="s">
        <v>69</v>
      </c>
      <c r="I1" s="29"/>
      <c r="J1" s="30"/>
      <c r="K1" s="31" t="s">
        <v>70</v>
      </c>
      <c r="L1" s="31"/>
    </row>
    <row r="2" spans="1:12" x14ac:dyDescent="0.45">
      <c r="A2" s="32"/>
      <c r="B2" s="25"/>
      <c r="C2" s="25"/>
      <c r="D2" s="33" t="s">
        <v>71</v>
      </c>
      <c r="E2" s="33" t="s">
        <v>72</v>
      </c>
      <c r="F2" s="34" t="s">
        <v>73</v>
      </c>
      <c r="G2" s="34" t="s">
        <v>74</v>
      </c>
      <c r="H2" s="35" t="s">
        <v>71</v>
      </c>
      <c r="I2" s="35" t="s">
        <v>72</v>
      </c>
      <c r="J2" s="36" t="s">
        <v>21</v>
      </c>
      <c r="K2" s="37" t="s">
        <v>75</v>
      </c>
      <c r="L2" s="37" t="s">
        <v>76</v>
      </c>
    </row>
    <row r="3" spans="1:12" x14ac:dyDescent="0.45">
      <c r="A3" s="38" t="s">
        <v>77</v>
      </c>
      <c r="B3" s="39"/>
      <c r="C3" s="40">
        <f>SUM(C4:C9)</f>
        <v>47.5</v>
      </c>
      <c r="D3" s="40">
        <f>SUM(D4:D9)</f>
        <v>130</v>
      </c>
      <c r="E3" s="40">
        <f>SUM(E4:E9)</f>
        <v>820</v>
      </c>
      <c r="F3" s="40">
        <f>SUM(D3:E3)</f>
        <v>950</v>
      </c>
      <c r="G3" s="40">
        <f t="shared" ref="G3" si="0">SUM(G4:G9)</f>
        <v>237.5</v>
      </c>
      <c r="H3" s="41">
        <f>SUM(H4:H9)</f>
        <v>1560000</v>
      </c>
      <c r="I3" s="41">
        <f>SUM(I4:I9)</f>
        <v>8200000</v>
      </c>
      <c r="J3" s="42">
        <f>SUM(J4:J9)</f>
        <v>9760000</v>
      </c>
      <c r="K3" s="42">
        <f>SUM(K4:K9)</f>
        <v>7808000</v>
      </c>
      <c r="L3" s="42">
        <f>SUM(L4:L9)</f>
        <v>1952000</v>
      </c>
    </row>
    <row r="4" spans="1:12" x14ac:dyDescent="0.45">
      <c r="A4" s="43"/>
      <c r="B4" s="44" t="s">
        <v>78</v>
      </c>
      <c r="C4" s="45">
        <f>G4/5</f>
        <v>15</v>
      </c>
      <c r="D4" s="45">
        <v>50</v>
      </c>
      <c r="E4" s="45">
        <v>250</v>
      </c>
      <c r="F4" s="46">
        <f t="shared" ref="F4:F19" si="1">SUM(D4:E4)</f>
        <v>300</v>
      </c>
      <c r="G4" s="45">
        <f>F4/4</f>
        <v>75</v>
      </c>
      <c r="H4" s="47">
        <f>12000*D4</f>
        <v>600000</v>
      </c>
      <c r="I4" s="47">
        <f>10000*E4</f>
        <v>2500000</v>
      </c>
      <c r="J4" s="48">
        <f>SUM(H4:I4)</f>
        <v>3100000</v>
      </c>
      <c r="K4" s="48">
        <f>J4*0.8</f>
        <v>2480000</v>
      </c>
      <c r="L4" s="48">
        <f>J4*0.2</f>
        <v>620000</v>
      </c>
    </row>
    <row r="5" spans="1:12" x14ac:dyDescent="0.45">
      <c r="A5" s="43"/>
      <c r="B5" s="44" t="s">
        <v>79</v>
      </c>
      <c r="C5" s="45">
        <f t="shared" ref="C5:C18" si="2">G5/5</f>
        <v>5</v>
      </c>
      <c r="D5" s="45">
        <v>30</v>
      </c>
      <c r="E5" s="45">
        <v>70</v>
      </c>
      <c r="F5" s="46">
        <f t="shared" si="1"/>
        <v>100</v>
      </c>
      <c r="G5" s="45">
        <f t="shared" ref="G5:G10" si="3">F5/4</f>
        <v>25</v>
      </c>
      <c r="H5" s="47">
        <f t="shared" ref="H5:H9" si="4">12000*D5</f>
        <v>360000</v>
      </c>
      <c r="I5" s="47">
        <f t="shared" ref="I5:I18" si="5">10000*E5</f>
        <v>700000</v>
      </c>
      <c r="J5" s="48">
        <f t="shared" ref="J5:J12" si="6">SUM(H5:I5)</f>
        <v>1060000</v>
      </c>
      <c r="K5" s="48">
        <f t="shared" ref="K5:K9" si="7">J5*0.8</f>
        <v>848000</v>
      </c>
      <c r="L5" s="48">
        <f t="shared" ref="L5:L6" si="8">J5*0.2</f>
        <v>212000</v>
      </c>
    </row>
    <row r="6" spans="1:12" x14ac:dyDescent="0.45">
      <c r="A6" s="43"/>
      <c r="B6" s="44" t="s">
        <v>80</v>
      </c>
      <c r="C6" s="45">
        <f t="shared" si="2"/>
        <v>10.5</v>
      </c>
      <c r="D6" s="45">
        <v>10</v>
      </c>
      <c r="E6" s="45">
        <v>200</v>
      </c>
      <c r="F6" s="46">
        <f t="shared" si="1"/>
        <v>210</v>
      </c>
      <c r="G6" s="45">
        <f t="shared" si="3"/>
        <v>52.5</v>
      </c>
      <c r="H6" s="47">
        <f t="shared" si="4"/>
        <v>120000</v>
      </c>
      <c r="I6" s="47">
        <f t="shared" si="5"/>
        <v>2000000</v>
      </c>
      <c r="J6" s="48">
        <f t="shared" si="6"/>
        <v>2120000</v>
      </c>
      <c r="K6" s="48">
        <f t="shared" si="7"/>
        <v>1696000</v>
      </c>
      <c r="L6" s="48">
        <f t="shared" si="8"/>
        <v>424000</v>
      </c>
    </row>
    <row r="7" spans="1:12" x14ac:dyDescent="0.45">
      <c r="A7" s="43"/>
      <c r="B7" s="44" t="s">
        <v>81</v>
      </c>
      <c r="C7" s="45">
        <f t="shared" si="2"/>
        <v>6</v>
      </c>
      <c r="D7" s="45">
        <v>20</v>
      </c>
      <c r="E7" s="45">
        <v>100</v>
      </c>
      <c r="F7" s="46">
        <f t="shared" si="1"/>
        <v>120</v>
      </c>
      <c r="G7" s="45">
        <f t="shared" si="3"/>
        <v>30</v>
      </c>
      <c r="H7" s="47">
        <f t="shared" si="4"/>
        <v>240000</v>
      </c>
      <c r="I7" s="47">
        <f t="shared" si="5"/>
        <v>1000000</v>
      </c>
      <c r="J7" s="48">
        <f t="shared" si="6"/>
        <v>1240000</v>
      </c>
      <c r="K7" s="48">
        <f t="shared" si="7"/>
        <v>992000</v>
      </c>
      <c r="L7" s="48">
        <f>J7*0.2</f>
        <v>248000</v>
      </c>
    </row>
    <row r="8" spans="1:12" x14ac:dyDescent="0.45">
      <c r="A8" s="43"/>
      <c r="B8" s="44" t="s">
        <v>82</v>
      </c>
      <c r="C8" s="45">
        <f t="shared" si="2"/>
        <v>5.5</v>
      </c>
      <c r="D8" s="45">
        <v>10</v>
      </c>
      <c r="E8" s="45">
        <v>100</v>
      </c>
      <c r="F8" s="46">
        <f t="shared" si="1"/>
        <v>110</v>
      </c>
      <c r="G8" s="45">
        <f t="shared" si="3"/>
        <v>27.5</v>
      </c>
      <c r="H8" s="47">
        <f t="shared" si="4"/>
        <v>120000</v>
      </c>
      <c r="I8" s="47">
        <f t="shared" si="5"/>
        <v>1000000</v>
      </c>
      <c r="J8" s="48">
        <f t="shared" si="6"/>
        <v>1120000</v>
      </c>
      <c r="K8" s="48">
        <f t="shared" si="7"/>
        <v>896000</v>
      </c>
      <c r="L8" s="48">
        <f>J8*0.2</f>
        <v>224000</v>
      </c>
    </row>
    <row r="9" spans="1:12" x14ac:dyDescent="0.45">
      <c r="A9" s="43"/>
      <c r="B9" s="44" t="s">
        <v>83</v>
      </c>
      <c r="C9" s="45">
        <f t="shared" si="2"/>
        <v>5.5</v>
      </c>
      <c r="D9" s="45">
        <v>10</v>
      </c>
      <c r="E9" s="45">
        <v>100</v>
      </c>
      <c r="F9" s="46">
        <f t="shared" si="1"/>
        <v>110</v>
      </c>
      <c r="G9" s="45">
        <f t="shared" si="3"/>
        <v>27.5</v>
      </c>
      <c r="H9" s="47">
        <f t="shared" si="4"/>
        <v>120000</v>
      </c>
      <c r="I9" s="47">
        <f t="shared" si="5"/>
        <v>1000000</v>
      </c>
      <c r="J9" s="48">
        <f t="shared" si="6"/>
        <v>1120000</v>
      </c>
      <c r="K9" s="48">
        <f t="shared" si="7"/>
        <v>896000</v>
      </c>
      <c r="L9" s="48">
        <f>J9*0.2</f>
        <v>224000</v>
      </c>
    </row>
    <row r="10" spans="1:12" x14ac:dyDescent="0.45">
      <c r="A10" s="49" t="s">
        <v>84</v>
      </c>
      <c r="B10" s="50"/>
      <c r="C10" s="51">
        <f t="shared" si="2"/>
        <v>7</v>
      </c>
      <c r="D10" s="40">
        <v>20</v>
      </c>
      <c r="E10" s="40">
        <v>120</v>
      </c>
      <c r="F10" s="40">
        <f t="shared" si="1"/>
        <v>140</v>
      </c>
      <c r="G10" s="52">
        <f t="shared" si="3"/>
        <v>35</v>
      </c>
      <c r="H10" s="53">
        <f>12000*D10</f>
        <v>240000</v>
      </c>
      <c r="I10" s="53">
        <f>10000*E10</f>
        <v>1200000</v>
      </c>
      <c r="J10" s="54">
        <f>SUM(H10:I10)</f>
        <v>1440000</v>
      </c>
      <c r="K10" s="55">
        <f>J10*1</f>
        <v>1440000</v>
      </c>
      <c r="L10" s="55">
        <f>J10*0</f>
        <v>0</v>
      </c>
    </row>
    <row r="11" spans="1:12" x14ac:dyDescent="0.45">
      <c r="A11" s="56"/>
      <c r="B11" s="44" t="s">
        <v>84</v>
      </c>
      <c r="C11" s="45"/>
      <c r="D11" s="45"/>
      <c r="E11" s="45"/>
      <c r="F11" s="46">
        <f t="shared" si="1"/>
        <v>0</v>
      </c>
      <c r="G11" s="45"/>
      <c r="H11" s="47"/>
      <c r="I11" s="47"/>
      <c r="J11" s="48"/>
      <c r="K11" s="57"/>
      <c r="L11" s="57"/>
    </row>
    <row r="12" spans="1:12" x14ac:dyDescent="0.45">
      <c r="A12" s="49" t="s">
        <v>85</v>
      </c>
      <c r="B12" s="50"/>
      <c r="C12" s="51">
        <f t="shared" si="2"/>
        <v>7</v>
      </c>
      <c r="D12" s="58">
        <v>10</v>
      </c>
      <c r="E12" s="58">
        <v>130</v>
      </c>
      <c r="F12" s="40">
        <f t="shared" si="1"/>
        <v>140</v>
      </c>
      <c r="G12" s="52">
        <f>F12/4</f>
        <v>35</v>
      </c>
      <c r="H12" s="53">
        <f>12000*D12</f>
        <v>120000</v>
      </c>
      <c r="I12" s="53">
        <f t="shared" si="5"/>
        <v>1300000</v>
      </c>
      <c r="J12" s="54">
        <f t="shared" si="6"/>
        <v>1420000</v>
      </c>
      <c r="K12" s="55">
        <f>J12*0.8</f>
        <v>1136000</v>
      </c>
      <c r="L12" s="59">
        <f>J12*0.2</f>
        <v>284000</v>
      </c>
    </row>
    <row r="13" spans="1:12" x14ac:dyDescent="0.45">
      <c r="A13" s="43"/>
      <c r="B13" s="44" t="s">
        <v>86</v>
      </c>
      <c r="C13" s="45"/>
      <c r="D13" s="60"/>
      <c r="E13" s="60"/>
      <c r="F13" s="46">
        <f t="shared" si="1"/>
        <v>0</v>
      </c>
      <c r="G13" s="61"/>
      <c r="H13" s="47"/>
      <c r="I13" s="47"/>
      <c r="J13" s="48"/>
      <c r="K13" s="43"/>
      <c r="L13" s="43"/>
    </row>
    <row r="14" spans="1:12" x14ac:dyDescent="0.45">
      <c r="A14" s="43"/>
      <c r="B14" s="44"/>
      <c r="C14" s="45"/>
      <c r="D14" s="60"/>
      <c r="E14" s="60"/>
      <c r="F14" s="46">
        <f t="shared" si="1"/>
        <v>0</v>
      </c>
      <c r="G14" s="62"/>
      <c r="H14" s="47"/>
      <c r="I14" s="47"/>
      <c r="J14" s="48"/>
      <c r="K14" s="57"/>
      <c r="L14" s="57"/>
    </row>
    <row r="15" spans="1:12" x14ac:dyDescent="0.45">
      <c r="A15" s="49" t="s">
        <v>87</v>
      </c>
      <c r="B15" s="50"/>
      <c r="C15" s="51">
        <f t="shared" si="2"/>
        <v>5</v>
      </c>
      <c r="D15" s="58">
        <v>40</v>
      </c>
      <c r="E15" s="58">
        <v>60</v>
      </c>
      <c r="F15" s="40">
        <f t="shared" si="1"/>
        <v>100</v>
      </c>
      <c r="G15" s="52">
        <f>F15/4</f>
        <v>25</v>
      </c>
      <c r="H15" s="53">
        <f t="shared" ref="H15:H18" si="9">12000*D15</f>
        <v>480000</v>
      </c>
      <c r="I15" s="53">
        <f t="shared" si="5"/>
        <v>600000</v>
      </c>
      <c r="J15" s="54">
        <f>SUM(H15:I15)</f>
        <v>1080000</v>
      </c>
      <c r="K15" s="55">
        <f>J15*0.8</f>
        <v>864000</v>
      </c>
      <c r="L15" s="59">
        <f t="shared" ref="L15" si="10">J15*0.2</f>
        <v>216000</v>
      </c>
    </row>
    <row r="16" spans="1:12" x14ac:dyDescent="0.45">
      <c r="A16" s="43"/>
      <c r="B16" s="44" t="s">
        <v>88</v>
      </c>
      <c r="C16" s="45"/>
      <c r="D16" s="60"/>
      <c r="E16" s="60"/>
      <c r="F16" s="46">
        <f t="shared" si="1"/>
        <v>0</v>
      </c>
      <c r="G16" s="62"/>
      <c r="H16" s="47"/>
      <c r="I16" s="47"/>
      <c r="J16" s="48"/>
      <c r="K16" s="57"/>
      <c r="L16" s="57"/>
    </row>
    <row r="17" spans="1:12" x14ac:dyDescent="0.45">
      <c r="A17" s="43"/>
      <c r="B17" s="44"/>
      <c r="C17" s="45"/>
      <c r="D17" s="60"/>
      <c r="E17" s="60"/>
      <c r="F17" s="46">
        <f t="shared" si="1"/>
        <v>0</v>
      </c>
      <c r="G17" s="62"/>
      <c r="H17" s="47"/>
      <c r="I17" s="47"/>
      <c r="J17" s="48"/>
      <c r="K17" s="57"/>
      <c r="L17" s="57"/>
    </row>
    <row r="18" spans="1:12" x14ac:dyDescent="0.45">
      <c r="A18" s="49" t="s">
        <v>89</v>
      </c>
      <c r="B18" s="50"/>
      <c r="C18" s="51">
        <f t="shared" si="2"/>
        <v>5</v>
      </c>
      <c r="D18" s="58">
        <v>40</v>
      </c>
      <c r="E18" s="58">
        <v>60</v>
      </c>
      <c r="F18" s="40">
        <f t="shared" si="1"/>
        <v>100</v>
      </c>
      <c r="G18" s="52">
        <f>F18/4</f>
        <v>25</v>
      </c>
      <c r="H18" s="53">
        <f t="shared" si="9"/>
        <v>480000</v>
      </c>
      <c r="I18" s="53">
        <f t="shared" si="5"/>
        <v>600000</v>
      </c>
      <c r="J18" s="54">
        <f>SUM(H18:I18)</f>
        <v>1080000</v>
      </c>
      <c r="K18" s="55">
        <f>J18*0.8</f>
        <v>864000</v>
      </c>
      <c r="L18" s="59">
        <f t="shared" ref="L18" si="11">J18*0.2</f>
        <v>216000</v>
      </c>
    </row>
    <row r="19" spans="1:12" x14ac:dyDescent="0.45">
      <c r="A19" s="43"/>
      <c r="B19" s="44" t="s">
        <v>90</v>
      </c>
      <c r="C19" s="45"/>
      <c r="D19" s="60"/>
      <c r="E19" s="60"/>
      <c r="F19" s="46">
        <f t="shared" si="1"/>
        <v>0</v>
      </c>
      <c r="G19" s="62"/>
      <c r="H19" s="47"/>
      <c r="I19" s="47"/>
      <c r="J19" s="48"/>
      <c r="K19" s="57"/>
      <c r="L19" s="57"/>
    </row>
    <row r="20" spans="1:12" x14ac:dyDescent="0.45">
      <c r="A20" s="63"/>
      <c r="B20" s="64" t="s">
        <v>91</v>
      </c>
      <c r="C20" s="63">
        <f t="shared" ref="C20:L20" si="12">SUM(C3,C10,C12,C15,C18)</f>
        <v>71.5</v>
      </c>
      <c r="D20" s="63">
        <f t="shared" si="12"/>
        <v>240</v>
      </c>
      <c r="E20" s="63">
        <f t="shared" si="12"/>
        <v>1190</v>
      </c>
      <c r="F20" s="63">
        <f t="shared" si="12"/>
        <v>1430</v>
      </c>
      <c r="G20" s="63">
        <f t="shared" si="12"/>
        <v>357.5</v>
      </c>
      <c r="H20" s="65">
        <f t="shared" si="12"/>
        <v>2880000</v>
      </c>
      <c r="I20" s="65">
        <f t="shared" si="12"/>
        <v>11900000</v>
      </c>
      <c r="J20" s="65">
        <f t="shared" si="12"/>
        <v>14780000</v>
      </c>
      <c r="K20" s="65">
        <f t="shared" si="12"/>
        <v>12112000</v>
      </c>
      <c r="L20" s="65">
        <f t="shared" si="12"/>
        <v>2668000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OBJECTIFS TRACKING</vt:lpstr>
      <vt:lpstr>OBJECTIFS PAR LOGIN</vt:lpstr>
      <vt:lpstr>PERFORAMCE PAR PATENAIRE</vt:lpstr>
      <vt:lpstr>POINT PAR PARTENAIRE</vt:lpstr>
      <vt:lpstr>POINT PAR SEGMENT</vt:lpstr>
      <vt:lpstr>TOP 10 VENTE PAR COMMERCIAL</vt:lpstr>
      <vt:lpstr>POINT PAR LOGIN</vt:lpstr>
      <vt:lpstr>OBJECTIFS OCTOBRE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Gaudens Romain ZOCLI</cp:lastModifiedBy>
  <dcterms:created xsi:type="dcterms:W3CDTF">2026-01-05T15:22:07Z</dcterms:created>
  <dcterms:modified xsi:type="dcterms:W3CDTF">2026-10-14T07:27:22Z</dcterms:modified>
</cp:coreProperties>
</file>