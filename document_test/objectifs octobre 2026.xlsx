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Telegram Desktop\"/>
    </mc:Choice>
  </mc:AlternateContent>
  <xr:revisionPtr revIDLastSave="0" documentId="13_ncr:1_{26B9117A-E02E-467A-9BB6-01B47B326CF4}" xr6:coauthVersionLast="47" xr6:coauthVersionMax="47" xr10:uidLastSave="{00000000-0000-0000-0000-000000000000}"/>
  <bookViews>
    <workbookView xWindow="-108" yWindow="-108" windowWidth="23256" windowHeight="12456" xr2:uid="{518AAA14-DF6A-42D6-9083-A9552BC51034}"/>
  </bookViews>
  <sheets>
    <sheet name="OBJECTIFS TRACK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1" l="1"/>
  <c r="G4" i="1"/>
  <c r="D83" i="1"/>
  <c r="D84" i="1"/>
  <c r="D85" i="1"/>
  <c r="D86" i="1"/>
  <c r="D81" i="1"/>
  <c r="D82" i="1"/>
  <c r="E81" i="1"/>
  <c r="F81" i="1"/>
  <c r="J81" i="1" s="1"/>
  <c r="G81" i="1"/>
  <c r="K81" i="1" s="1"/>
  <c r="G8" i="1"/>
  <c r="K8" i="1" s="1"/>
  <c r="K3" i="1" s="1"/>
  <c r="D30" i="1"/>
  <c r="D23" i="1"/>
  <c r="D9" i="1"/>
  <c r="E76" i="1"/>
  <c r="D76" i="1" s="1"/>
  <c r="E75" i="1"/>
  <c r="D75" i="1" s="1"/>
  <c r="C75" i="1" s="1"/>
  <c r="C81" i="1"/>
  <c r="E84" i="1"/>
  <c r="E83" i="1"/>
  <c r="K86" i="1"/>
  <c r="J86" i="1"/>
  <c r="L86" i="1" s="1"/>
  <c r="E86" i="1"/>
  <c r="K85" i="1"/>
  <c r="J85" i="1"/>
  <c r="E85" i="1"/>
  <c r="K82" i="1"/>
  <c r="J82" i="1"/>
  <c r="E82" i="1"/>
  <c r="K77" i="1"/>
  <c r="J77" i="1"/>
  <c r="E77" i="1"/>
  <c r="D77" i="1" s="1"/>
  <c r="C77" i="1" s="1"/>
  <c r="K76" i="1"/>
  <c r="J76" i="1"/>
  <c r="K75" i="1"/>
  <c r="J75" i="1"/>
  <c r="K71" i="1"/>
  <c r="J71" i="1"/>
  <c r="E71" i="1"/>
  <c r="D71" i="1" s="1"/>
  <c r="K70" i="1"/>
  <c r="J70" i="1"/>
  <c r="L70" i="1" s="1"/>
  <c r="E70" i="1"/>
  <c r="D70" i="1" s="1"/>
  <c r="K69" i="1"/>
  <c r="J69" i="1"/>
  <c r="E69" i="1"/>
  <c r="D69" i="1" s="1"/>
  <c r="K68" i="1"/>
  <c r="J68" i="1"/>
  <c r="E68" i="1"/>
  <c r="D68" i="1" s="1"/>
  <c r="K67" i="1"/>
  <c r="J67" i="1"/>
  <c r="L67" i="1" s="1"/>
  <c r="E67" i="1"/>
  <c r="D67" i="1" s="1"/>
  <c r="G66" i="1"/>
  <c r="K66" i="1" s="1"/>
  <c r="F66" i="1"/>
  <c r="K62" i="1"/>
  <c r="J62" i="1"/>
  <c r="E62" i="1"/>
  <c r="D62" i="1" s="1"/>
  <c r="K61" i="1"/>
  <c r="J61" i="1"/>
  <c r="L61" i="1" s="1"/>
  <c r="M61" i="1" s="1"/>
  <c r="E61" i="1"/>
  <c r="D61" i="1" s="1"/>
  <c r="K60" i="1"/>
  <c r="J60" i="1"/>
  <c r="L60" i="1" s="1"/>
  <c r="M60" i="1" s="1"/>
  <c r="E60" i="1"/>
  <c r="D60" i="1" s="1"/>
  <c r="K59" i="1"/>
  <c r="J59" i="1"/>
  <c r="E59" i="1"/>
  <c r="D59" i="1" s="1"/>
  <c r="C58" i="1" s="1"/>
  <c r="G58" i="1"/>
  <c r="K58" i="1" s="1"/>
  <c r="F58" i="1"/>
  <c r="K54" i="1"/>
  <c r="J54" i="1"/>
  <c r="L54" i="1" s="1"/>
  <c r="E54" i="1"/>
  <c r="D54" i="1" s="1"/>
  <c r="K53" i="1"/>
  <c r="J53" i="1"/>
  <c r="E53" i="1"/>
  <c r="D53" i="1" s="1"/>
  <c r="K52" i="1"/>
  <c r="J52" i="1"/>
  <c r="E52" i="1"/>
  <c r="D52" i="1" s="1"/>
  <c r="K51" i="1"/>
  <c r="J51" i="1"/>
  <c r="E51" i="1"/>
  <c r="D51" i="1" s="1"/>
  <c r="G50" i="1"/>
  <c r="K50" i="1" s="1"/>
  <c r="F50" i="1"/>
  <c r="J50" i="1" s="1"/>
  <c r="E50" i="1"/>
  <c r="D50" i="1" s="1"/>
  <c r="K46" i="1"/>
  <c r="J46" i="1"/>
  <c r="L46" i="1" s="1"/>
  <c r="E46" i="1"/>
  <c r="D46" i="1" s="1"/>
  <c r="K45" i="1"/>
  <c r="J45" i="1"/>
  <c r="E45" i="1"/>
  <c r="D45" i="1" s="1"/>
  <c r="G44" i="1"/>
  <c r="K44" i="1" s="1"/>
  <c r="F44" i="1"/>
  <c r="K39" i="1"/>
  <c r="J39" i="1"/>
  <c r="L39" i="1" s="1"/>
  <c r="E39" i="1"/>
  <c r="D39" i="1" s="1"/>
  <c r="K38" i="1"/>
  <c r="J38" i="1"/>
  <c r="E38" i="1"/>
  <c r="D38" i="1" s="1"/>
  <c r="G37" i="1"/>
  <c r="K37" i="1" s="1"/>
  <c r="F37" i="1"/>
  <c r="K33" i="1"/>
  <c r="J33" i="1"/>
  <c r="L33" i="1" s="1"/>
  <c r="E33" i="1"/>
  <c r="D33" i="1" s="1"/>
  <c r="K32" i="1"/>
  <c r="J32" i="1"/>
  <c r="E32" i="1"/>
  <c r="D32" i="1" s="1"/>
  <c r="K31" i="1"/>
  <c r="J31" i="1"/>
  <c r="L31" i="1" s="1"/>
  <c r="E31" i="1"/>
  <c r="D31" i="1" s="1"/>
  <c r="K30" i="1"/>
  <c r="J30" i="1"/>
  <c r="L30" i="1" s="1"/>
  <c r="E30" i="1"/>
  <c r="C29" i="1" s="1"/>
  <c r="G29" i="1"/>
  <c r="K29" i="1" s="1"/>
  <c r="F29" i="1"/>
  <c r="K25" i="1"/>
  <c r="J25" i="1"/>
  <c r="L25" i="1" s="1"/>
  <c r="E25" i="1"/>
  <c r="D25" i="1" s="1"/>
  <c r="K24" i="1"/>
  <c r="J24" i="1"/>
  <c r="L24" i="1" s="1"/>
  <c r="E24" i="1"/>
  <c r="D24" i="1" s="1"/>
  <c r="K23" i="1"/>
  <c r="J23" i="1"/>
  <c r="E23" i="1"/>
  <c r="C22" i="1" s="1"/>
  <c r="G22" i="1"/>
  <c r="K22" i="1" s="1"/>
  <c r="F22" i="1"/>
  <c r="J22" i="1" s="1"/>
  <c r="E22" i="1"/>
  <c r="D22" i="1" s="1"/>
  <c r="K18" i="1"/>
  <c r="J18" i="1"/>
  <c r="L18" i="1" s="1"/>
  <c r="E18" i="1"/>
  <c r="D18" i="1" s="1"/>
  <c r="K17" i="1"/>
  <c r="J17" i="1"/>
  <c r="K16" i="1"/>
  <c r="J16" i="1"/>
  <c r="L16" i="1" s="1"/>
  <c r="E16" i="1"/>
  <c r="D16" i="1" s="1"/>
  <c r="K15" i="1"/>
  <c r="J15" i="1"/>
  <c r="E15" i="1"/>
  <c r="D15" i="1" s="1"/>
  <c r="K14" i="1"/>
  <c r="J14" i="1"/>
  <c r="L14" i="1" s="1"/>
  <c r="E14" i="1"/>
  <c r="D14" i="1" s="1"/>
  <c r="K13" i="1"/>
  <c r="J13" i="1"/>
  <c r="L13" i="1" s="1"/>
  <c r="E13" i="1"/>
  <c r="D13" i="1" s="1"/>
  <c r="K12" i="1"/>
  <c r="J12" i="1"/>
  <c r="E12" i="1"/>
  <c r="D12" i="1" s="1"/>
  <c r="K11" i="1"/>
  <c r="J11" i="1"/>
  <c r="E11" i="1"/>
  <c r="D11" i="1"/>
  <c r="K10" i="1"/>
  <c r="J10" i="1"/>
  <c r="K9" i="1"/>
  <c r="J9" i="1"/>
  <c r="L9" i="1" s="1"/>
  <c r="E9" i="1"/>
  <c r="F8" i="1"/>
  <c r="J8" i="1" s="1"/>
  <c r="K4" i="1" l="1"/>
  <c r="L81" i="1"/>
  <c r="M81" i="1" s="1"/>
  <c r="L11" i="1"/>
  <c r="N11" i="1" s="1"/>
  <c r="L22" i="1"/>
  <c r="F3" i="1"/>
  <c r="F4" i="1" s="1"/>
  <c r="L45" i="1"/>
  <c r="L62" i="1"/>
  <c r="M62" i="1" s="1"/>
  <c r="L68" i="1"/>
  <c r="L52" i="1"/>
  <c r="L53" i="1"/>
  <c r="M53" i="1" s="1"/>
  <c r="L59" i="1"/>
  <c r="M59" i="1" s="1"/>
  <c r="L76" i="1"/>
  <c r="M76" i="1" s="1"/>
  <c r="L15" i="1"/>
  <c r="M15" i="1" s="1"/>
  <c r="L51" i="1"/>
  <c r="M51" i="1" s="1"/>
  <c r="L71" i="1"/>
  <c r="M71" i="1" s="1"/>
  <c r="L82" i="1"/>
  <c r="E8" i="1"/>
  <c r="D8" i="1" s="1"/>
  <c r="C8" i="1" s="1"/>
  <c r="L17" i="1"/>
  <c r="M17" i="1" s="1"/>
  <c r="L23" i="1"/>
  <c r="L50" i="1"/>
  <c r="M50" i="1" s="1"/>
  <c r="L69" i="1"/>
  <c r="N69" i="1" s="1"/>
  <c r="L77" i="1"/>
  <c r="N77" i="1" s="1"/>
  <c r="L10" i="1"/>
  <c r="M10" i="1" s="1"/>
  <c r="L12" i="1"/>
  <c r="M12" i="1" s="1"/>
  <c r="L32" i="1"/>
  <c r="M32" i="1" s="1"/>
  <c r="L38" i="1"/>
  <c r="N38" i="1" s="1"/>
  <c r="L75" i="1"/>
  <c r="N75" i="1" s="1"/>
  <c r="L85" i="1"/>
  <c r="N85" i="1" s="1"/>
  <c r="N86" i="1"/>
  <c r="M86" i="1"/>
  <c r="M82" i="1"/>
  <c r="N82" i="1"/>
  <c r="N81" i="1"/>
  <c r="N76" i="1"/>
  <c r="N70" i="1"/>
  <c r="M70" i="1"/>
  <c r="M69" i="1"/>
  <c r="N68" i="1"/>
  <c r="M68" i="1"/>
  <c r="N67" i="1"/>
  <c r="M67" i="1"/>
  <c r="J66" i="1"/>
  <c r="L66" i="1" s="1"/>
  <c r="E66" i="1"/>
  <c r="D66" i="1" s="1"/>
  <c r="C66" i="1" s="1"/>
  <c r="J58" i="1"/>
  <c r="L58" i="1" s="1"/>
  <c r="E58" i="1"/>
  <c r="N54" i="1"/>
  <c r="M54" i="1"/>
  <c r="N53" i="1"/>
  <c r="M52" i="1"/>
  <c r="N52" i="1"/>
  <c r="N51" i="1"/>
  <c r="M46" i="1"/>
  <c r="N46" i="1"/>
  <c r="N45" i="1"/>
  <c r="M45" i="1"/>
  <c r="E44" i="1"/>
  <c r="D44" i="1" s="1"/>
  <c r="C44" i="1" s="1"/>
  <c r="J44" i="1"/>
  <c r="L44" i="1" s="1"/>
  <c r="N39" i="1"/>
  <c r="M39" i="1"/>
  <c r="J37" i="1"/>
  <c r="L37" i="1" s="1"/>
  <c r="E37" i="1"/>
  <c r="D37" i="1" s="1"/>
  <c r="C37" i="1" s="1"/>
  <c r="N33" i="1"/>
  <c r="M33" i="1"/>
  <c r="M31" i="1"/>
  <c r="N31" i="1"/>
  <c r="N30" i="1"/>
  <c r="M30" i="1"/>
  <c r="J29" i="1"/>
  <c r="L29" i="1" s="1"/>
  <c r="E29" i="1"/>
  <c r="D29" i="1" s="1"/>
  <c r="N25" i="1"/>
  <c r="M25" i="1"/>
  <c r="M24" i="1"/>
  <c r="N24" i="1"/>
  <c r="N23" i="1"/>
  <c r="M23" i="1"/>
  <c r="M22" i="1"/>
  <c r="N22" i="1"/>
  <c r="M18" i="1"/>
  <c r="N18" i="1"/>
  <c r="N16" i="1"/>
  <c r="M16" i="1"/>
  <c r="N14" i="1"/>
  <c r="M14" i="1"/>
  <c r="N13" i="1"/>
  <c r="M13" i="1"/>
  <c r="M9" i="1"/>
  <c r="N9" i="1"/>
  <c r="L8" i="1"/>
  <c r="C50" i="1"/>
  <c r="N10" i="1" l="1"/>
  <c r="D3" i="1"/>
  <c r="N59" i="1"/>
  <c r="M11" i="1"/>
  <c r="N17" i="1"/>
  <c r="M38" i="1"/>
  <c r="N15" i="1"/>
  <c r="M77" i="1"/>
  <c r="M85" i="1"/>
  <c r="N71" i="1"/>
  <c r="N12" i="1"/>
  <c r="N32" i="1"/>
  <c r="N50" i="1"/>
  <c r="J3" i="1"/>
  <c r="J4" i="1" s="1"/>
  <c r="M75" i="1"/>
  <c r="E3" i="1"/>
  <c r="E4" i="1" s="1"/>
  <c r="N66" i="1"/>
  <c r="M66" i="1"/>
  <c r="M58" i="1"/>
  <c r="N58" i="1"/>
  <c r="D58" i="1"/>
  <c r="M44" i="1"/>
  <c r="N44" i="1"/>
  <c r="N37" i="1"/>
  <c r="M37" i="1"/>
  <c r="N29" i="1"/>
  <c r="M29" i="1"/>
  <c r="M8" i="1"/>
  <c r="N8" i="1"/>
  <c r="L3" i="1"/>
  <c r="L4" i="1" s="1"/>
  <c r="C3" i="1"/>
  <c r="C4" i="1" s="1"/>
  <c r="D4" i="1" l="1"/>
  <c r="M3" i="1"/>
  <c r="M4" i="1" s="1"/>
  <c r="N3" i="1"/>
  <c r="N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ADISSA</author>
  </authors>
  <commentList>
    <comment ref="L1" authorId="0" shapeId="0" xr:uid="{95E27C92-DCC0-4FC7-8CE6-614358BFB744}">
      <text>
        <r>
          <rPr>
            <b/>
            <sz val="10"/>
            <color indexed="81"/>
            <rFont val="Tahoma"/>
            <family val="2"/>
          </rPr>
          <t>ADISSA:</t>
        </r>
        <r>
          <rPr>
            <sz val="10"/>
            <color indexed="81"/>
            <rFont val="Tahoma"/>
            <family val="2"/>
          </rPr>
          <t xml:space="preserve">
En considerant uniquement l'offre du 50 M du B2C</t>
        </r>
      </text>
    </comment>
  </commentList>
</comments>
</file>

<file path=xl/sharedStrings.xml><?xml version="1.0" encoding="utf-8"?>
<sst xmlns="http://schemas.openxmlformats.org/spreadsheetml/2006/main" count="134" uniqueCount="67">
  <si>
    <t>SEGMENTS</t>
  </si>
  <si>
    <t>OBJECTIFS</t>
  </si>
  <si>
    <t>OBJECTIF OCTOBRE</t>
  </si>
  <si>
    <t>ONE_SHOT</t>
  </si>
  <si>
    <t>COMMISSION DU MOIS</t>
  </si>
  <si>
    <t>JOUR</t>
  </si>
  <si>
    <t>SEM</t>
  </si>
  <si>
    <t>MOIS</t>
  </si>
  <si>
    <t>B2B</t>
  </si>
  <si>
    <t>B2C</t>
  </si>
  <si>
    <t>TOTAL</t>
  </si>
  <si>
    <t>PART_COMMERCIAL</t>
  </si>
  <si>
    <t>PART_RGZ</t>
  </si>
  <si>
    <t>INTERNE EXISTANT</t>
  </si>
  <si>
    <t>Grand Total</t>
  </si>
  <si>
    <t>YANKEE</t>
  </si>
  <si>
    <t>pms_rgz_tosee.ftth</t>
  </si>
  <si>
    <t>pvt_rgz_mfrancois.ftth</t>
  </si>
  <si>
    <t>pvt_rgz_fadji.ftth</t>
  </si>
  <si>
    <t>pvt_rgz_dcharmelie.ftth</t>
  </si>
  <si>
    <t>pvt_rgz_gkohla.ftth</t>
  </si>
  <si>
    <t>pvt_rgz_rclotoe.ftth</t>
  </si>
  <si>
    <t>pvt_rgz_aconstant.ftth</t>
  </si>
  <si>
    <t>pvt_rgz_cmessinou.ftth</t>
  </si>
  <si>
    <t>pvt_rgz_lsenakpon.ftth</t>
  </si>
  <si>
    <t>pvt_rgz_tletitia.ftth</t>
  </si>
  <si>
    <t>pvt_rgz_dalexis.ftth</t>
  </si>
  <si>
    <t>pvt_rgz_eulisse.ftth</t>
  </si>
  <si>
    <t>ALPHA</t>
  </si>
  <si>
    <t>pms_rgz_tgloria.ftth</t>
  </si>
  <si>
    <t>pms_rgz_dconstant.ftth</t>
  </si>
  <si>
    <t>pvt_rgz_bboris.ftth</t>
  </si>
  <si>
    <t>TANGO</t>
  </si>
  <si>
    <t>pvt_rgz_dthibaut.ftth</t>
  </si>
  <si>
    <t>pms_rgz_hfrancine.ftth</t>
  </si>
  <si>
    <t>pvt_rgz_wdiane.ftth</t>
  </si>
  <si>
    <t>pvt_rgz_gsahoui.ftth</t>
  </si>
  <si>
    <t>ZULU</t>
  </si>
  <si>
    <t>pvt-rgz-olouis.ftth</t>
  </si>
  <si>
    <t>pvt_rgz_ahugues.ftth</t>
  </si>
  <si>
    <t>pvt_rgz_adidier.ftth</t>
  </si>
  <si>
    <t>CHARLIE</t>
  </si>
  <si>
    <t>pms_rgz_wmarius.ftth</t>
  </si>
  <si>
    <t>pvt_rgz_tsylvia.ftth</t>
  </si>
  <si>
    <t>MIKE</t>
  </si>
  <si>
    <t>pvt_rgz_oalain.ftth</t>
  </si>
  <si>
    <t>pvt_rgz_sulrich.ftth</t>
  </si>
  <si>
    <t>pvt_rgz_hderrick.ftth</t>
  </si>
  <si>
    <t>pms_rgz_kromeo.ftth</t>
  </si>
  <si>
    <t>ANONYMAT</t>
  </si>
  <si>
    <t>pvt_rgz_gprince.ftth</t>
  </si>
  <si>
    <t>pvt_rgz_akoffi.ftth</t>
  </si>
  <si>
    <t>pvt_rgz_agado.ftth</t>
  </si>
  <si>
    <t>pvt_rgz_lcedric.ftth</t>
  </si>
  <si>
    <t xml:space="preserve">CONCORDE </t>
  </si>
  <si>
    <t>pvt_rgz_kbernadin.ftth</t>
  </si>
  <si>
    <t>pms_rgz_cmerveille.ftth</t>
  </si>
  <si>
    <t>pvt_rgz_kadebayo.ftth</t>
  </si>
  <si>
    <t>pms_rgz_abijou.ftth</t>
  </si>
  <si>
    <t>pms_rgz_svictor.ftth</t>
  </si>
  <si>
    <t>BRAVO</t>
  </si>
  <si>
    <t>pvt_rgz_afaoziath.ftth</t>
  </si>
  <si>
    <t>pvt_rgz_lgrace.ftth</t>
  </si>
  <si>
    <t xml:space="preserve">OMEGA </t>
  </si>
  <si>
    <t>pvt_rgz_ojeovani.ftth</t>
  </si>
  <si>
    <t>pvt_rgz_amarcel.ftth</t>
  </si>
  <si>
    <t>pvt_rgz_mvenceslas.ftth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</si>
</sst>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Bahnschrift Light"/>
      <family val="2"/>
    </font>
    <font>
      <b/>
      <sz val="11"/>
      <name val="Bahnschrift Light"/>
      <family val="2"/>
    </font>
    <font>
      <b/>
      <sz val="11"/>
      <color theme="1"/>
      <name val="Bahnschrift Light"/>
      <family val="2"/>
    </font>
    <font>
      <b/>
      <sz val="11"/>
      <color theme="0"/>
      <name val="Bahnschrift Light"/>
      <family val="2"/>
    </font>
    <font>
      <b/>
      <sz val="11"/>
      <color rgb="FFFF0000"/>
      <name val="Calibri"/>
      <family val="2"/>
      <scheme val="minor"/>
    </font>
    <font>
      <sz val="11"/>
      <color theme="1"/>
      <name val="Bahnschrift Light"/>
      <family val="2"/>
    </font>
    <font>
      <sz val="11"/>
      <color theme="1"/>
      <name val="Candara"/>
      <family val="2"/>
    </font>
    <font>
      <sz val="11"/>
      <name val="Bahnschrift Light"/>
      <family val="2"/>
    </font>
    <font>
      <b/>
      <sz val="11"/>
      <color rgb="FFFF0000"/>
      <name val="Bahnschrift Light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theme="4" tint="-0.249977111117893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4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Continuous" vertical="justify"/>
    </xf>
    <xf numFmtId="0" fontId="4" fillId="4" borderId="1" xfId="0" applyFont="1" applyFill="1" applyBorder="1" applyAlignment="1">
      <alignment horizontal="centerContinuous" vertical="justify"/>
    </xf>
    <xf numFmtId="0" fontId="4" fillId="3" borderId="1" xfId="0" applyFont="1" applyFill="1" applyBorder="1" applyAlignment="1">
      <alignment horizontal="centerContinuous" vertical="center"/>
    </xf>
    <xf numFmtId="0" fontId="5" fillId="5" borderId="0" xfId="0" applyFont="1" applyFill="1" applyAlignment="1">
      <alignment horizontal="centerContinuous"/>
    </xf>
    <xf numFmtId="0" fontId="3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justify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8" borderId="4" xfId="0" applyFont="1" applyFill="1" applyBorder="1"/>
    <xf numFmtId="0" fontId="3" fillId="8" borderId="1" xfId="0" applyFont="1" applyFill="1" applyBorder="1"/>
    <xf numFmtId="1" fontId="6" fillId="9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 applyAlignment="1">
      <alignment horizontal="center"/>
    </xf>
    <xf numFmtId="1" fontId="4" fillId="8" borderId="1" xfId="0" applyNumberFormat="1" applyFont="1" applyFill="1" applyBorder="1"/>
    <xf numFmtId="0" fontId="4" fillId="3" borderId="1" xfId="0" applyFont="1" applyFill="1" applyBorder="1"/>
    <xf numFmtId="1" fontId="4" fillId="3" borderId="1" xfId="0" applyNumberFormat="1" applyFont="1" applyFill="1" applyBorder="1"/>
    <xf numFmtId="0" fontId="7" fillId="0" borderId="0" xfId="0" applyFont="1"/>
    <xf numFmtId="0" fontId="2" fillId="0" borderId="0" xfId="0" applyFont="1"/>
    <xf numFmtId="0" fontId="8" fillId="0" borderId="0" xfId="0" applyFont="1"/>
    <xf numFmtId="0" fontId="5" fillId="10" borderId="5" xfId="0" applyFont="1" applyFill="1" applyBorder="1" applyAlignment="1">
      <alignment horizontal="center"/>
    </xf>
    <xf numFmtId="1" fontId="6" fillId="9" borderId="1" xfId="0" applyNumberFormat="1" applyFont="1" applyFill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/>
    </xf>
    <xf numFmtId="1" fontId="4" fillId="10" borderId="1" xfId="0" applyNumberFormat="1" applyFont="1" applyFill="1" applyBorder="1" applyAlignment="1">
      <alignment horizontal="center"/>
    </xf>
    <xf numFmtId="1" fontId="8" fillId="10" borderId="1" xfId="0" applyNumberFormat="1" applyFont="1" applyFill="1" applyBorder="1"/>
    <xf numFmtId="41" fontId="8" fillId="10" borderId="1" xfId="1" applyFont="1" applyFill="1" applyBorder="1" applyAlignment="1">
      <alignment horizontal="right"/>
    </xf>
    <xf numFmtId="41" fontId="8" fillId="10" borderId="1" xfId="1" applyFont="1" applyFill="1" applyBorder="1" applyAlignment="1"/>
    <xf numFmtId="0" fontId="9" fillId="0" borderId="1" xfId="0" applyFont="1" applyBorder="1" applyAlignment="1">
      <alignment horizontal="left" indent="1"/>
    </xf>
    <xf numFmtId="1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8" fillId="0" borderId="1" xfId="0" applyNumberFormat="1" applyFont="1" applyBorder="1"/>
    <xf numFmtId="1" fontId="8" fillId="0" borderId="1" xfId="0" applyNumberFormat="1" applyFont="1" applyBorder="1" applyAlignment="1">
      <alignment horizontal="right"/>
    </xf>
    <xf numFmtId="41" fontId="8" fillId="0" borderId="1" xfId="1" applyFont="1" applyFill="1" applyBorder="1" applyAlignment="1"/>
    <xf numFmtId="0" fontId="0" fillId="11" borderId="1" xfId="0" applyFill="1" applyBorder="1"/>
    <xf numFmtId="0" fontId="5" fillId="10" borderId="1" xfId="0" applyFont="1" applyFill="1" applyBorder="1" applyAlignment="1">
      <alignment horizontal="center"/>
    </xf>
    <xf numFmtId="1" fontId="8" fillId="10" borderId="1" xfId="0" applyNumberFormat="1" applyFont="1" applyFill="1" applyBorder="1" applyAlignment="1">
      <alignment horizontal="center"/>
    </xf>
    <xf numFmtId="1" fontId="10" fillId="10" borderId="1" xfId="0" applyNumberFormat="1" applyFont="1" applyFill="1" applyBorder="1" applyAlignment="1">
      <alignment horizontal="center"/>
    </xf>
    <xf numFmtId="1" fontId="8" fillId="0" borderId="6" xfId="0" applyNumberFormat="1" applyFont="1" applyBorder="1"/>
    <xf numFmtId="1" fontId="8" fillId="0" borderId="6" xfId="0" applyNumberFormat="1" applyFont="1" applyBorder="1" applyAlignment="1">
      <alignment horizontal="right"/>
    </xf>
    <xf numFmtId="41" fontId="8" fillId="0" borderId="6" xfId="1" applyFont="1" applyFill="1" applyBorder="1" applyAlignment="1"/>
    <xf numFmtId="0" fontId="5" fillId="10" borderId="7" xfId="0" applyFont="1" applyFill="1" applyBorder="1" applyAlignment="1">
      <alignment horizontal="center"/>
    </xf>
    <xf numFmtId="1" fontId="8" fillId="10" borderId="6" xfId="0" applyNumberFormat="1" applyFont="1" applyFill="1" applyBorder="1" applyAlignment="1">
      <alignment horizontal="center"/>
    </xf>
    <xf numFmtId="1" fontId="10" fillId="10" borderId="6" xfId="0" applyNumberFormat="1" applyFont="1" applyFill="1" applyBorder="1" applyAlignment="1">
      <alignment horizontal="center"/>
    </xf>
    <xf numFmtId="1" fontId="8" fillId="10" borderId="6" xfId="0" applyNumberFormat="1" applyFont="1" applyFill="1" applyBorder="1"/>
    <xf numFmtId="41" fontId="8" fillId="10" borderId="6" xfId="1" applyFont="1" applyFill="1" applyBorder="1" applyAlignment="1">
      <alignment horizontal="right"/>
    </xf>
    <xf numFmtId="1" fontId="8" fillId="0" borderId="6" xfId="0" applyNumberFormat="1" applyFont="1" applyBorder="1" applyAlignment="1">
      <alignment horizontal="center"/>
    </xf>
    <xf numFmtId="1" fontId="8" fillId="0" borderId="8" xfId="0" applyNumberFormat="1" applyFont="1" applyBorder="1" applyAlignment="1">
      <alignment horizontal="center"/>
    </xf>
    <xf numFmtId="1" fontId="8" fillId="0" borderId="8" xfId="0" applyNumberFormat="1" applyFont="1" applyBorder="1"/>
    <xf numFmtId="0" fontId="9" fillId="12" borderId="1" xfId="0" applyFont="1" applyFill="1" applyBorder="1" applyAlignment="1">
      <alignment horizontal="left" indent="1"/>
    </xf>
    <xf numFmtId="1" fontId="11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 applyAlignment="1">
      <alignment horizontal="center"/>
    </xf>
    <xf numFmtId="1" fontId="10" fillId="12" borderId="1" xfId="0" applyNumberFormat="1" applyFont="1" applyFill="1" applyBorder="1" applyAlignment="1">
      <alignment horizontal="center"/>
    </xf>
    <xf numFmtId="1" fontId="8" fillId="12" borderId="1" xfId="0" applyNumberFormat="1" applyFont="1" applyFill="1" applyBorder="1"/>
    <xf numFmtId="41" fontId="8" fillId="12" borderId="1" xfId="1" applyFont="1" applyFill="1" applyBorder="1" applyAlignment="1"/>
    <xf numFmtId="0" fontId="5" fillId="8" borderId="11" xfId="0" applyFont="1" applyFill="1" applyBorder="1"/>
    <xf numFmtId="0" fontId="5" fillId="8" borderId="9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1" fontId="5" fillId="8" borderId="1" xfId="0" applyNumberFormat="1" applyFont="1" applyFill="1" applyBorder="1"/>
    <xf numFmtId="41" fontId="5" fillId="8" borderId="1" xfId="1" applyFont="1" applyFill="1" applyBorder="1" applyAlignment="1"/>
    <xf numFmtId="41" fontId="5" fillId="8" borderId="1" xfId="0" applyNumberFormat="1" applyFont="1" applyFill="1" applyBorder="1" applyAlignment="1">
      <alignment vertical="center"/>
    </xf>
    <xf numFmtId="0" fontId="5" fillId="0" borderId="0" xfId="0" applyFont="1"/>
    <xf numFmtId="0" fontId="9" fillId="0" borderId="5" xfId="0" applyFont="1" applyBorder="1" applyAlignment="1">
      <alignment horizontal="left" indent="1"/>
    </xf>
    <xf numFmtId="1" fontId="10" fillId="0" borderId="1" xfId="0" applyNumberFormat="1" applyFont="1" applyBorder="1" applyAlignment="1">
      <alignment horizontal="center"/>
    </xf>
    <xf numFmtId="41" fontId="8" fillId="0" borderId="1" xfId="0" applyNumberFormat="1" applyFont="1" applyBorder="1" applyAlignment="1">
      <alignment vertical="center"/>
    </xf>
    <xf numFmtId="0" fontId="5" fillId="8" borderId="2" xfId="0" applyFont="1" applyFill="1" applyBorder="1"/>
    <xf numFmtId="1" fontId="5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vertical="center"/>
    </xf>
    <xf numFmtId="0" fontId="8" fillId="0" borderId="1" xfId="0" applyFont="1" applyBorder="1"/>
    <xf numFmtId="1" fontId="8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8" fillId="0" borderId="5" xfId="0" applyFont="1" applyBorder="1"/>
    <xf numFmtId="0" fontId="0" fillId="0" borderId="3" xfId="0" applyBorder="1"/>
    <xf numFmtId="1" fontId="10" fillId="0" borderId="1" xfId="0" applyNumberFormat="1" applyFont="1" applyBorder="1" applyAlignment="1"/>
    <xf numFmtId="0" fontId="8" fillId="0" borderId="1" xfId="0" applyFont="1" applyBorder="1" applyAlignment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</cellXfs>
  <cellStyles count="2">
    <cellStyle name="Millier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E842-4FA0-4B9D-BBFC-2EE5E1F0E5ED}">
  <sheetPr>
    <tabColor rgb="FFFF0000"/>
  </sheetPr>
  <dimension ref="A1:N86"/>
  <sheetViews>
    <sheetView tabSelected="1" zoomScaleNormal="100" workbookViewId="0">
      <pane ySplit="1" topLeftCell="A2" activePane="bottomLeft" state="frozen"/>
      <selection activeCell="O25" sqref="O25"/>
      <selection pane="bottomLeft" activeCell="P8" sqref="P8"/>
    </sheetView>
  </sheetViews>
  <sheetFormatPr baseColWidth="10" defaultColWidth="10.6640625" defaultRowHeight="14.4" x14ac:dyDescent="0.3"/>
  <cols>
    <col min="1" max="1" width="21.88671875" customWidth="1"/>
    <col min="2" max="2" width="23.88671875" bestFit="1" customWidth="1"/>
    <col min="3" max="3" width="5.6640625" style="19" bestFit="1" customWidth="1"/>
    <col min="4" max="4" width="5" bestFit="1" customWidth="1"/>
    <col min="5" max="5" width="5.6640625" bestFit="1" customWidth="1"/>
    <col min="6" max="6" width="5" bestFit="1" customWidth="1"/>
    <col min="7" max="7" width="6" bestFit="1" customWidth="1"/>
    <col min="9" max="9" width="0" hidden="1" customWidth="1"/>
    <col min="10" max="10" width="10" hidden="1" customWidth="1"/>
    <col min="11" max="11" width="10.77734375" hidden="1" customWidth="1"/>
    <col min="12" max="12" width="12.88671875" hidden="1" customWidth="1"/>
    <col min="13" max="13" width="22.6640625" hidden="1" customWidth="1"/>
    <col min="14" max="14" width="13" hidden="1" customWidth="1"/>
  </cols>
  <sheetData>
    <row r="1" spans="1:14" x14ac:dyDescent="0.3">
      <c r="A1" s="1" t="s">
        <v>0</v>
      </c>
      <c r="B1" s="1" t="s">
        <v>1</v>
      </c>
      <c r="C1" s="82" t="s">
        <v>2</v>
      </c>
      <c r="D1" s="83"/>
      <c r="E1" s="83"/>
      <c r="F1" s="83"/>
      <c r="G1" s="83"/>
      <c r="J1" s="2" t="s">
        <v>3</v>
      </c>
      <c r="K1" s="3"/>
      <c r="L1" s="4"/>
      <c r="M1" s="5" t="s">
        <v>4</v>
      </c>
      <c r="N1" s="5"/>
    </row>
    <row r="2" spans="1:14" x14ac:dyDescent="0.3">
      <c r="A2" s="6"/>
      <c r="B2" s="1"/>
      <c r="C2" s="7" t="s">
        <v>5</v>
      </c>
      <c r="D2" s="1" t="s">
        <v>6</v>
      </c>
      <c r="E2" s="1" t="s">
        <v>7</v>
      </c>
      <c r="F2" s="8" t="s">
        <v>8</v>
      </c>
      <c r="G2" s="8" t="s">
        <v>9</v>
      </c>
      <c r="J2" s="9" t="s">
        <v>8</v>
      </c>
      <c r="K2" s="9" t="s">
        <v>9</v>
      </c>
      <c r="L2" s="10" t="s">
        <v>10</v>
      </c>
      <c r="M2" s="11" t="s">
        <v>11</v>
      </c>
      <c r="N2" s="11" t="s">
        <v>12</v>
      </c>
    </row>
    <row r="3" spans="1:14" x14ac:dyDescent="0.3">
      <c r="A3" s="12" t="s">
        <v>13</v>
      </c>
      <c r="B3" s="13"/>
      <c r="C3" s="14">
        <f>SUM(C8,C22,C29,C37,C44,C50)</f>
        <v>48.75</v>
      </c>
      <c r="D3" s="15">
        <f>SUM(D8:D50)</f>
        <v>445.25</v>
      </c>
      <c r="E3" s="15">
        <f>SUM(F3:G3)</f>
        <v>955</v>
      </c>
      <c r="F3" s="15">
        <f>SUM(F8,F22,F29,F37,F44,F50)</f>
        <v>130</v>
      </c>
      <c r="G3" s="15">
        <f>SUM(G8,G22,G29,G37,G44,G50)</f>
        <v>825</v>
      </c>
      <c r="J3" s="16">
        <f>SUM(J8,J22,J29,J37,J44,J50)</f>
        <v>1560000</v>
      </c>
      <c r="K3" s="16">
        <f>SUM(K8,K22,K29,K37,K44,K50)</f>
        <v>8250000</v>
      </c>
      <c r="L3" s="16">
        <f>SUM(L8,L22,L29,L37,L44,L50)</f>
        <v>9810000</v>
      </c>
      <c r="M3" s="16">
        <f>SUM(M8,M22,M29,M37,M44,M50)</f>
        <v>7848000</v>
      </c>
      <c r="N3" s="16">
        <f>SUM(N8,N22,N29,N37,N44,N50)</f>
        <v>1962000</v>
      </c>
    </row>
    <row r="4" spans="1:14" x14ac:dyDescent="0.3">
      <c r="A4" s="17" t="s">
        <v>14</v>
      </c>
      <c r="B4" s="17" t="s">
        <v>14</v>
      </c>
      <c r="C4" s="14">
        <f>SUM(C3,C58,C66,C75,C81)</f>
        <v>79.099999999999994</v>
      </c>
      <c r="D4" s="18">
        <f>SUM(D3,D58,D66,D75,D81)</f>
        <v>578.25</v>
      </c>
      <c r="E4" s="18">
        <f>SUM(E3,E58,E66,E75,E81)</f>
        <v>1487</v>
      </c>
      <c r="F4" s="18">
        <f>SUM(F3,F58,F66,F75,F81)</f>
        <v>240</v>
      </c>
      <c r="G4" s="18">
        <f>SUM(G3,G58,G66,G75,G81)</f>
        <v>1247</v>
      </c>
      <c r="J4" s="18">
        <f>SUM(J3,J58,J66,J75,J81)</f>
        <v>2880000</v>
      </c>
      <c r="K4" s="18">
        <f>SUM(K3,K58,K66,K75,K81)</f>
        <v>12470000</v>
      </c>
      <c r="L4" s="18">
        <f>SUM(L3,L58,L66,L75,L81)</f>
        <v>15350000</v>
      </c>
      <c r="M4" s="18">
        <f>SUM(M3,M58,M66,M75,M81)</f>
        <v>12568000</v>
      </c>
      <c r="N4" s="18">
        <f>SUM(N3,N58,N66,N75,N81)</f>
        <v>2782000</v>
      </c>
    </row>
    <row r="5" spans="1:14" x14ac:dyDescent="0.3">
      <c r="J5" s="16"/>
      <c r="K5" s="16"/>
      <c r="L5" s="16"/>
      <c r="M5" s="16"/>
      <c r="N5" s="16"/>
    </row>
    <row r="6" spans="1:14" x14ac:dyDescent="0.3">
      <c r="B6" s="20"/>
      <c r="C6" s="78" t="s">
        <v>2</v>
      </c>
      <c r="D6" s="79"/>
      <c r="E6" s="79"/>
      <c r="F6" s="79"/>
      <c r="G6" s="79"/>
      <c r="J6" s="16"/>
      <c r="K6" s="16"/>
      <c r="L6" s="16"/>
      <c r="M6" s="16"/>
      <c r="N6" s="16"/>
    </row>
    <row r="7" spans="1:14" x14ac:dyDescent="0.3">
      <c r="B7" s="20"/>
      <c r="C7" s="7" t="s">
        <v>5</v>
      </c>
      <c r="D7" s="7" t="s">
        <v>6</v>
      </c>
      <c r="E7" s="7" t="s">
        <v>7</v>
      </c>
      <c r="F7" s="8" t="s">
        <v>8</v>
      </c>
      <c r="G7" s="8" t="s">
        <v>9</v>
      </c>
      <c r="J7" s="16"/>
      <c r="K7" s="16"/>
      <c r="L7" s="16"/>
      <c r="M7" s="16"/>
      <c r="N7" s="16"/>
    </row>
    <row r="8" spans="1:14" x14ac:dyDescent="0.3">
      <c r="A8" s="21"/>
      <c r="B8" s="22" t="s">
        <v>15</v>
      </c>
      <c r="C8" s="23">
        <f t="shared" ref="C8" si="0">D8/5</f>
        <v>15.75</v>
      </c>
      <c r="D8" s="24">
        <f t="shared" ref="D8:D18" si="1">E8/4</f>
        <v>78.75</v>
      </c>
      <c r="E8" s="25">
        <f t="shared" ref="E8:E18" si="2">SUM(F8:G8)</f>
        <v>315</v>
      </c>
      <c r="F8" s="24">
        <f>SUM(F9:F18)</f>
        <v>50</v>
      </c>
      <c r="G8" s="24">
        <f>SUM(G9:G18)</f>
        <v>265</v>
      </c>
      <c r="J8" s="26">
        <f t="shared" ref="J8:J18" si="3">12000*F8</f>
        <v>600000</v>
      </c>
      <c r="K8" s="26">
        <f t="shared" ref="K8:K18" si="4">10000*G8</f>
        <v>2650000</v>
      </c>
      <c r="L8" s="27">
        <f t="shared" ref="L8:L18" si="5">SUM(J8:K8)</f>
        <v>3250000</v>
      </c>
      <c r="M8" s="28">
        <f t="shared" ref="M8:M18" si="6">L8*0.8</f>
        <v>2600000</v>
      </c>
      <c r="N8" s="28">
        <f t="shared" ref="N8:N18" si="7">L8*0.2</f>
        <v>650000</v>
      </c>
    </row>
    <row r="9" spans="1:14" x14ac:dyDescent="0.3">
      <c r="B9" s="29" t="s">
        <v>16</v>
      </c>
      <c r="C9" s="23">
        <v>2</v>
      </c>
      <c r="D9" s="30">
        <f>E9/4</f>
        <v>11</v>
      </c>
      <c r="E9" s="31">
        <f t="shared" si="2"/>
        <v>44</v>
      </c>
      <c r="F9" s="31">
        <v>14</v>
      </c>
      <c r="G9" s="31">
        <v>30</v>
      </c>
      <c r="J9" s="32">
        <f t="shared" si="3"/>
        <v>168000</v>
      </c>
      <c r="K9" s="32">
        <f t="shared" si="4"/>
        <v>300000</v>
      </c>
      <c r="L9" s="33">
        <f t="shared" si="5"/>
        <v>468000</v>
      </c>
      <c r="M9" s="34">
        <f t="shared" si="6"/>
        <v>374400</v>
      </c>
      <c r="N9" s="34">
        <f t="shared" si="7"/>
        <v>93600</v>
      </c>
    </row>
    <row r="10" spans="1:14" x14ac:dyDescent="0.3">
      <c r="B10" s="29" t="s">
        <v>17</v>
      </c>
      <c r="C10" s="23">
        <v>2</v>
      </c>
      <c r="D10" s="30">
        <v>11</v>
      </c>
      <c r="E10" s="31">
        <v>45</v>
      </c>
      <c r="F10" s="31">
        <v>5</v>
      </c>
      <c r="G10" s="31">
        <v>40</v>
      </c>
      <c r="J10" s="32">
        <f t="shared" si="3"/>
        <v>60000</v>
      </c>
      <c r="K10" s="32">
        <f t="shared" si="4"/>
        <v>400000</v>
      </c>
      <c r="L10" s="33">
        <f t="shared" si="5"/>
        <v>460000</v>
      </c>
      <c r="M10" s="34">
        <f t="shared" si="6"/>
        <v>368000</v>
      </c>
      <c r="N10" s="34">
        <f t="shared" si="7"/>
        <v>92000</v>
      </c>
    </row>
    <row r="11" spans="1:14" x14ac:dyDescent="0.3">
      <c r="B11" s="29" t="s">
        <v>18</v>
      </c>
      <c r="C11" s="23">
        <v>2</v>
      </c>
      <c r="D11" s="30">
        <f t="shared" si="1"/>
        <v>8.5</v>
      </c>
      <c r="E11" s="31">
        <f t="shared" si="2"/>
        <v>34</v>
      </c>
      <c r="F11" s="31">
        <v>4</v>
      </c>
      <c r="G11" s="31">
        <v>30</v>
      </c>
      <c r="J11" s="32">
        <f t="shared" si="3"/>
        <v>48000</v>
      </c>
      <c r="K11" s="32">
        <f t="shared" si="4"/>
        <v>300000</v>
      </c>
      <c r="L11" s="33">
        <f t="shared" si="5"/>
        <v>348000</v>
      </c>
      <c r="M11" s="34">
        <f t="shared" si="6"/>
        <v>278400</v>
      </c>
      <c r="N11" s="34">
        <f t="shared" si="7"/>
        <v>69600</v>
      </c>
    </row>
    <row r="12" spans="1:14" x14ac:dyDescent="0.3">
      <c r="B12" s="29" t="s">
        <v>19</v>
      </c>
      <c r="C12" s="23">
        <v>1</v>
      </c>
      <c r="D12" s="30">
        <f t="shared" si="1"/>
        <v>7</v>
      </c>
      <c r="E12" s="31">
        <f t="shared" si="2"/>
        <v>28</v>
      </c>
      <c r="F12" s="31">
        <v>3</v>
      </c>
      <c r="G12" s="31">
        <v>25</v>
      </c>
      <c r="J12" s="32">
        <f t="shared" si="3"/>
        <v>36000</v>
      </c>
      <c r="K12" s="32">
        <f t="shared" si="4"/>
        <v>250000</v>
      </c>
      <c r="L12" s="33">
        <f t="shared" si="5"/>
        <v>286000</v>
      </c>
      <c r="M12" s="34">
        <f t="shared" si="6"/>
        <v>228800</v>
      </c>
      <c r="N12" s="34">
        <f t="shared" si="7"/>
        <v>57200</v>
      </c>
    </row>
    <row r="13" spans="1:14" x14ac:dyDescent="0.3">
      <c r="B13" s="29" t="s">
        <v>20</v>
      </c>
      <c r="C13" s="23">
        <v>2</v>
      </c>
      <c r="D13" s="30">
        <f t="shared" si="1"/>
        <v>9</v>
      </c>
      <c r="E13" s="31">
        <f t="shared" si="2"/>
        <v>36</v>
      </c>
      <c r="F13" s="31">
        <v>6</v>
      </c>
      <c r="G13" s="31">
        <v>30</v>
      </c>
      <c r="J13" s="32">
        <f t="shared" si="3"/>
        <v>72000</v>
      </c>
      <c r="K13" s="32">
        <f t="shared" si="4"/>
        <v>300000</v>
      </c>
      <c r="L13" s="33">
        <f t="shared" si="5"/>
        <v>372000</v>
      </c>
      <c r="M13" s="34">
        <f t="shared" si="6"/>
        <v>297600</v>
      </c>
      <c r="N13" s="34">
        <f t="shared" si="7"/>
        <v>74400</v>
      </c>
    </row>
    <row r="14" spans="1:14" x14ac:dyDescent="0.3">
      <c r="B14" s="29" t="s">
        <v>21</v>
      </c>
      <c r="C14" s="23">
        <v>2</v>
      </c>
      <c r="D14" s="30">
        <f t="shared" si="1"/>
        <v>7.5</v>
      </c>
      <c r="E14" s="31">
        <f t="shared" si="2"/>
        <v>30</v>
      </c>
      <c r="F14" s="31">
        <v>5</v>
      </c>
      <c r="G14" s="31">
        <v>25</v>
      </c>
      <c r="J14" s="32">
        <f t="shared" si="3"/>
        <v>60000</v>
      </c>
      <c r="K14" s="32">
        <f t="shared" si="4"/>
        <v>250000</v>
      </c>
      <c r="L14" s="33">
        <f t="shared" si="5"/>
        <v>310000</v>
      </c>
      <c r="M14" s="34">
        <f t="shared" si="6"/>
        <v>248000</v>
      </c>
      <c r="N14" s="34">
        <f t="shared" si="7"/>
        <v>62000</v>
      </c>
    </row>
    <row r="15" spans="1:14" x14ac:dyDescent="0.3">
      <c r="B15" s="29" t="s">
        <v>22</v>
      </c>
      <c r="C15" s="23">
        <v>1</v>
      </c>
      <c r="D15" s="30">
        <f t="shared" si="1"/>
        <v>6.25</v>
      </c>
      <c r="E15" s="31">
        <f t="shared" si="2"/>
        <v>25</v>
      </c>
      <c r="F15" s="31">
        <v>5</v>
      </c>
      <c r="G15" s="31">
        <v>20</v>
      </c>
      <c r="J15" s="32">
        <f t="shared" si="3"/>
        <v>60000</v>
      </c>
      <c r="K15" s="32">
        <f t="shared" si="4"/>
        <v>200000</v>
      </c>
      <c r="L15" s="33">
        <f t="shared" si="5"/>
        <v>260000</v>
      </c>
      <c r="M15" s="34">
        <f t="shared" si="6"/>
        <v>208000</v>
      </c>
      <c r="N15" s="34">
        <f t="shared" si="7"/>
        <v>52000</v>
      </c>
    </row>
    <row r="16" spans="1:14" x14ac:dyDescent="0.3">
      <c r="B16" s="29" t="s">
        <v>23</v>
      </c>
      <c r="C16" s="23">
        <v>1</v>
      </c>
      <c r="D16" s="30">
        <f t="shared" si="1"/>
        <v>5.75</v>
      </c>
      <c r="E16" s="31">
        <f t="shared" si="2"/>
        <v>23</v>
      </c>
      <c r="F16" s="31">
        <v>3</v>
      </c>
      <c r="G16" s="31">
        <v>20</v>
      </c>
      <c r="J16" s="32">
        <f t="shared" si="3"/>
        <v>36000</v>
      </c>
      <c r="K16" s="32">
        <f t="shared" si="4"/>
        <v>200000</v>
      </c>
      <c r="L16" s="33">
        <f t="shared" si="5"/>
        <v>236000</v>
      </c>
      <c r="M16" s="34">
        <f t="shared" si="6"/>
        <v>188800</v>
      </c>
      <c r="N16" s="34">
        <f t="shared" si="7"/>
        <v>47200</v>
      </c>
    </row>
    <row r="17" spans="1:14" x14ac:dyDescent="0.3">
      <c r="B17" s="29" t="s">
        <v>24</v>
      </c>
      <c r="C17" s="23">
        <v>2</v>
      </c>
      <c r="D17" s="30">
        <v>8</v>
      </c>
      <c r="E17" s="31">
        <v>30</v>
      </c>
      <c r="F17" s="31">
        <v>5</v>
      </c>
      <c r="G17" s="31">
        <v>25</v>
      </c>
      <c r="J17" s="32">
        <f t="shared" si="3"/>
        <v>60000</v>
      </c>
      <c r="K17" s="32">
        <f t="shared" si="4"/>
        <v>250000</v>
      </c>
      <c r="L17" s="33">
        <f t="shared" si="5"/>
        <v>310000</v>
      </c>
      <c r="M17" s="34">
        <f t="shared" si="6"/>
        <v>248000</v>
      </c>
      <c r="N17" s="34">
        <f t="shared" si="7"/>
        <v>62000</v>
      </c>
    </row>
    <row r="18" spans="1:14" x14ac:dyDescent="0.3">
      <c r="B18" s="29" t="s">
        <v>25</v>
      </c>
      <c r="C18" s="23">
        <v>1</v>
      </c>
      <c r="D18" s="30">
        <f t="shared" si="1"/>
        <v>5</v>
      </c>
      <c r="E18" s="31">
        <f t="shared" si="2"/>
        <v>20</v>
      </c>
      <c r="F18" s="31">
        <v>0</v>
      </c>
      <c r="G18" s="31">
        <v>20</v>
      </c>
      <c r="J18" s="32">
        <f t="shared" si="3"/>
        <v>0</v>
      </c>
      <c r="K18" s="32">
        <f t="shared" si="4"/>
        <v>200000</v>
      </c>
      <c r="L18" s="33">
        <f t="shared" si="5"/>
        <v>200000</v>
      </c>
      <c r="M18" s="34">
        <f t="shared" si="6"/>
        <v>160000</v>
      </c>
      <c r="N18" s="34">
        <f t="shared" si="7"/>
        <v>40000</v>
      </c>
    </row>
    <row r="19" spans="1:14" x14ac:dyDescent="0.3">
      <c r="C19"/>
      <c r="J19" s="35"/>
      <c r="K19" s="35"/>
      <c r="L19" s="35"/>
      <c r="M19" s="35"/>
      <c r="N19" s="35"/>
    </row>
    <row r="20" spans="1:14" x14ac:dyDescent="0.3">
      <c r="B20" s="20"/>
      <c r="C20" s="78" t="s">
        <v>2</v>
      </c>
      <c r="D20" s="79"/>
      <c r="E20" s="79"/>
      <c r="F20" s="79"/>
      <c r="G20" s="79"/>
      <c r="J20" s="35"/>
      <c r="K20" s="35"/>
      <c r="L20" s="35"/>
      <c r="M20" s="35"/>
      <c r="N20" s="35"/>
    </row>
    <row r="21" spans="1:14" x14ac:dyDescent="0.3">
      <c r="B21" s="20"/>
      <c r="C21" s="23" t="s">
        <v>5</v>
      </c>
      <c r="D21" s="7" t="s">
        <v>6</v>
      </c>
      <c r="E21" s="7" t="s">
        <v>7</v>
      </c>
      <c r="F21" s="8" t="s">
        <v>8</v>
      </c>
      <c r="G21" s="8" t="s">
        <v>9</v>
      </c>
      <c r="J21" s="35"/>
      <c r="K21" s="35"/>
      <c r="L21" s="35"/>
      <c r="M21" s="35"/>
      <c r="N21" s="35"/>
    </row>
    <row r="22" spans="1:14" x14ac:dyDescent="0.3">
      <c r="A22" s="21"/>
      <c r="B22" s="36" t="s">
        <v>28</v>
      </c>
      <c r="C22" s="23">
        <f>SUM(C23:C25)</f>
        <v>5</v>
      </c>
      <c r="D22" s="37">
        <f>E22/4</f>
        <v>25</v>
      </c>
      <c r="E22" s="38">
        <f>SUM(F22:G22)</f>
        <v>100</v>
      </c>
      <c r="F22" s="37">
        <f>SUM(F23:F25)</f>
        <v>30</v>
      </c>
      <c r="G22" s="37">
        <f>SUM(G23:G25)</f>
        <v>70</v>
      </c>
      <c r="J22" s="26">
        <f>12000*F22</f>
        <v>360000</v>
      </c>
      <c r="K22" s="26">
        <f>10000*G22</f>
        <v>700000</v>
      </c>
      <c r="L22" s="28">
        <f>SUM(J22:K22)</f>
        <v>1060000</v>
      </c>
      <c r="M22" s="28">
        <f>L22*0.8</f>
        <v>848000</v>
      </c>
      <c r="N22" s="28">
        <f>L22*0.2</f>
        <v>212000</v>
      </c>
    </row>
    <row r="23" spans="1:14" x14ac:dyDescent="0.3">
      <c r="A23" s="21"/>
      <c r="B23" s="29" t="s">
        <v>29</v>
      </c>
      <c r="C23" s="23">
        <v>3</v>
      </c>
      <c r="D23" s="30">
        <f>E23/4</f>
        <v>13.25</v>
      </c>
      <c r="E23" s="31">
        <f>SUM(F23:G23)</f>
        <v>53</v>
      </c>
      <c r="F23" s="30">
        <v>24</v>
      </c>
      <c r="G23" s="30">
        <v>29</v>
      </c>
      <c r="J23" s="32">
        <f>12000*F23</f>
        <v>288000</v>
      </c>
      <c r="K23" s="32">
        <f>10000*G23</f>
        <v>290000</v>
      </c>
      <c r="L23" s="33">
        <f>SUM(J23:K23)</f>
        <v>578000</v>
      </c>
      <c r="M23" s="34">
        <f>L23*0.8</f>
        <v>462400</v>
      </c>
      <c r="N23" s="34">
        <f>L23*0.2</f>
        <v>115600</v>
      </c>
    </row>
    <row r="24" spans="1:14" x14ac:dyDescent="0.3">
      <c r="A24" s="21"/>
      <c r="B24" s="29" t="s">
        <v>30</v>
      </c>
      <c r="C24" s="23">
        <v>1</v>
      </c>
      <c r="D24" s="30">
        <f>E24/4</f>
        <v>7.25</v>
      </c>
      <c r="E24" s="31">
        <f>SUM(F24:G24)</f>
        <v>29</v>
      </c>
      <c r="F24" s="30">
        <v>4</v>
      </c>
      <c r="G24" s="30">
        <v>25</v>
      </c>
      <c r="J24" s="32">
        <f>12000*F24</f>
        <v>48000</v>
      </c>
      <c r="K24" s="32">
        <f>10000*G24</f>
        <v>250000</v>
      </c>
      <c r="L24" s="33">
        <f>SUM(J24:K24)</f>
        <v>298000</v>
      </c>
      <c r="M24" s="34">
        <f>L24*0.8</f>
        <v>238400</v>
      </c>
      <c r="N24" s="34">
        <f>L24*0.2</f>
        <v>59600</v>
      </c>
    </row>
    <row r="25" spans="1:14" x14ac:dyDescent="0.3">
      <c r="A25" s="21"/>
      <c r="B25" s="29" t="s">
        <v>31</v>
      </c>
      <c r="C25" s="23">
        <v>1</v>
      </c>
      <c r="D25" s="30">
        <f>E25/4</f>
        <v>4.5</v>
      </c>
      <c r="E25" s="31">
        <f>SUM(F25:G25)</f>
        <v>18</v>
      </c>
      <c r="F25" s="30">
        <v>2</v>
      </c>
      <c r="G25" s="30">
        <v>16</v>
      </c>
      <c r="J25" s="32">
        <f>12000*F25</f>
        <v>24000</v>
      </c>
      <c r="K25" s="32">
        <f>10000*G25</f>
        <v>160000</v>
      </c>
      <c r="L25" s="33">
        <f>SUM(J25:K25)</f>
        <v>184000</v>
      </c>
      <c r="M25" s="34">
        <f>L25*0.8</f>
        <v>147200</v>
      </c>
      <c r="N25" s="34">
        <f>L25*0.2</f>
        <v>36800</v>
      </c>
    </row>
    <row r="26" spans="1:14" x14ac:dyDescent="0.3">
      <c r="C26"/>
      <c r="J26" s="35"/>
      <c r="K26" s="35"/>
      <c r="L26" s="35"/>
      <c r="M26" s="35"/>
      <c r="N26" s="35"/>
    </row>
    <row r="27" spans="1:14" x14ac:dyDescent="0.3">
      <c r="A27" s="21"/>
      <c r="B27" s="20"/>
      <c r="C27" s="78" t="s">
        <v>2</v>
      </c>
      <c r="D27" s="79"/>
      <c r="E27" s="79"/>
      <c r="F27" s="79"/>
      <c r="G27" s="79"/>
      <c r="J27" s="39"/>
      <c r="K27" s="39"/>
      <c r="L27" s="40"/>
      <c r="M27" s="41"/>
      <c r="N27" s="41"/>
    </row>
    <row r="28" spans="1:14" x14ac:dyDescent="0.3">
      <c r="A28" s="21"/>
      <c r="B28" s="20"/>
      <c r="C28" s="23" t="s">
        <v>5</v>
      </c>
      <c r="D28" s="7" t="s">
        <v>6</v>
      </c>
      <c r="E28" s="7" t="s">
        <v>7</v>
      </c>
      <c r="F28" s="8" t="s">
        <v>8</v>
      </c>
      <c r="G28" s="8" t="s">
        <v>9</v>
      </c>
      <c r="J28" s="39"/>
      <c r="K28" s="39"/>
      <c r="L28" s="40"/>
      <c r="M28" s="41"/>
      <c r="N28" s="41"/>
    </row>
    <row r="29" spans="1:14" x14ac:dyDescent="0.3">
      <c r="A29" s="21"/>
      <c r="B29" s="42" t="s">
        <v>32</v>
      </c>
      <c r="C29" s="23">
        <f>SUM(C30:C33)</f>
        <v>11</v>
      </c>
      <c r="D29" s="43">
        <f>E29/4</f>
        <v>52.5</v>
      </c>
      <c r="E29" s="44">
        <f>SUM(F29:G29)</f>
        <v>210</v>
      </c>
      <c r="F29" s="43">
        <f>SUM(F30:F33)</f>
        <v>10</v>
      </c>
      <c r="G29" s="43">
        <f>SUM(G30:G33)</f>
        <v>200</v>
      </c>
      <c r="J29" s="45">
        <f>12000*F29</f>
        <v>120000</v>
      </c>
      <c r="K29" s="45">
        <f>10000*G29</f>
        <v>2000000</v>
      </c>
      <c r="L29" s="46">
        <f>SUM(J29:K29)</f>
        <v>2120000</v>
      </c>
      <c r="M29" s="46">
        <f>L29*0.8</f>
        <v>1696000</v>
      </c>
      <c r="N29" s="46">
        <f>L29*0.2</f>
        <v>424000</v>
      </c>
    </row>
    <row r="30" spans="1:14" x14ac:dyDescent="0.3">
      <c r="A30" s="21"/>
      <c r="B30" s="29" t="s">
        <v>33</v>
      </c>
      <c r="C30" s="23">
        <v>3</v>
      </c>
      <c r="D30" s="30">
        <f>E30/4</f>
        <v>15.5</v>
      </c>
      <c r="E30" s="31">
        <f>SUM(F30:G30)</f>
        <v>62</v>
      </c>
      <c r="F30" s="47">
        <v>0</v>
      </c>
      <c r="G30" s="47">
        <v>62</v>
      </c>
      <c r="J30" s="32">
        <f>12000*F30</f>
        <v>0</v>
      </c>
      <c r="K30" s="39">
        <f>10000*G30</f>
        <v>620000</v>
      </c>
      <c r="L30" s="33">
        <f>SUM(J30:K30)</f>
        <v>620000</v>
      </c>
      <c r="M30" s="34">
        <f>L30*0.8</f>
        <v>496000</v>
      </c>
      <c r="N30" s="34">
        <f>L30*0.2</f>
        <v>124000</v>
      </c>
    </row>
    <row r="31" spans="1:14" x14ac:dyDescent="0.3">
      <c r="A31" s="21"/>
      <c r="B31" s="29" t="s">
        <v>34</v>
      </c>
      <c r="C31" s="23">
        <v>3</v>
      </c>
      <c r="D31" s="30">
        <f>E31/4</f>
        <v>12.5</v>
      </c>
      <c r="E31" s="31">
        <f>SUM(F31:G31)</f>
        <v>50</v>
      </c>
      <c r="F31" s="47">
        <v>2</v>
      </c>
      <c r="G31" s="47">
        <v>48</v>
      </c>
      <c r="J31" s="32">
        <f>12000*F31</f>
        <v>24000</v>
      </c>
      <c r="K31" s="39">
        <f>10000*G31</f>
        <v>480000</v>
      </c>
      <c r="L31" s="33">
        <f>SUM(J31:K31)</f>
        <v>504000</v>
      </c>
      <c r="M31" s="34">
        <f>L31*0.8</f>
        <v>403200</v>
      </c>
      <c r="N31" s="34">
        <f>L31*0.2</f>
        <v>100800</v>
      </c>
    </row>
    <row r="32" spans="1:14" x14ac:dyDescent="0.3">
      <c r="A32" s="21"/>
      <c r="B32" s="29" t="s">
        <v>35</v>
      </c>
      <c r="C32" s="23">
        <v>3</v>
      </c>
      <c r="D32" s="30">
        <f>E32/4</f>
        <v>12.75</v>
      </c>
      <c r="E32" s="31">
        <f>SUM(F32:G32)</f>
        <v>51</v>
      </c>
      <c r="F32" s="47">
        <v>5</v>
      </c>
      <c r="G32" s="47">
        <v>46</v>
      </c>
      <c r="J32" s="32">
        <f>12000*F32</f>
        <v>60000</v>
      </c>
      <c r="K32" s="39">
        <f>10000*G32</f>
        <v>460000</v>
      </c>
      <c r="L32" s="33">
        <f>SUM(J32:K32)</f>
        <v>520000</v>
      </c>
      <c r="M32" s="34">
        <f>L32*0.8</f>
        <v>416000</v>
      </c>
      <c r="N32" s="34">
        <f>L32*0.2</f>
        <v>104000</v>
      </c>
    </row>
    <row r="33" spans="1:14" x14ac:dyDescent="0.3">
      <c r="A33" s="21"/>
      <c r="B33" s="29" t="s">
        <v>36</v>
      </c>
      <c r="C33" s="23">
        <v>2</v>
      </c>
      <c r="D33" s="30">
        <f>E33/4</f>
        <v>11.75</v>
      </c>
      <c r="E33" s="31">
        <f>SUM(F33:G33)</f>
        <v>47</v>
      </c>
      <c r="F33" s="48">
        <v>3</v>
      </c>
      <c r="G33" s="48">
        <v>44</v>
      </c>
      <c r="J33" s="32">
        <f>12000*F33</f>
        <v>36000</v>
      </c>
      <c r="K33" s="49">
        <f>10000*G33</f>
        <v>440000</v>
      </c>
      <c r="L33" s="33">
        <f>SUM(J33:K33)</f>
        <v>476000</v>
      </c>
      <c r="M33" s="34">
        <f>L33*0.8</f>
        <v>380800</v>
      </c>
      <c r="N33" s="34">
        <f>L33*0.2</f>
        <v>95200</v>
      </c>
    </row>
    <row r="34" spans="1:14" x14ac:dyDescent="0.3">
      <c r="C34"/>
      <c r="J34" s="35"/>
      <c r="K34" s="35"/>
      <c r="L34" s="35"/>
      <c r="M34" s="35"/>
      <c r="N34" s="35"/>
    </row>
    <row r="35" spans="1:14" x14ac:dyDescent="0.3">
      <c r="A35" s="21"/>
      <c r="B35" s="20"/>
      <c r="C35" s="78" t="s">
        <v>2</v>
      </c>
      <c r="D35" s="79"/>
      <c r="E35" s="79"/>
      <c r="F35" s="79"/>
      <c r="G35" s="79"/>
      <c r="J35" s="32"/>
      <c r="K35" s="49"/>
      <c r="L35" s="33"/>
      <c r="M35" s="34"/>
      <c r="N35" s="34"/>
    </row>
    <row r="36" spans="1:14" x14ac:dyDescent="0.3">
      <c r="A36" s="21"/>
      <c r="B36" s="20"/>
      <c r="C36" s="23" t="s">
        <v>5</v>
      </c>
      <c r="D36" s="7" t="s">
        <v>6</v>
      </c>
      <c r="E36" s="7" t="s">
        <v>7</v>
      </c>
      <c r="F36" s="8" t="s">
        <v>8</v>
      </c>
      <c r="G36" s="8" t="s">
        <v>9</v>
      </c>
      <c r="J36" s="32"/>
      <c r="K36" s="49"/>
      <c r="L36" s="33"/>
      <c r="M36" s="34"/>
      <c r="N36" s="34"/>
    </row>
    <row r="37" spans="1:14" x14ac:dyDescent="0.3">
      <c r="A37" s="21"/>
      <c r="B37" s="36" t="s">
        <v>37</v>
      </c>
      <c r="C37" s="23">
        <f>D37/5</f>
        <v>6</v>
      </c>
      <c r="D37" s="37">
        <f>E37/4</f>
        <v>30</v>
      </c>
      <c r="E37" s="38">
        <f>SUM(F37:G37)</f>
        <v>120</v>
      </c>
      <c r="F37" s="37">
        <f>SUM(F38:F39)</f>
        <v>20</v>
      </c>
      <c r="G37" s="37">
        <f>SUM(G38:G39)</f>
        <v>100</v>
      </c>
      <c r="J37" s="26">
        <f>12000*F37</f>
        <v>240000</v>
      </c>
      <c r="K37" s="26">
        <f>10000*G37</f>
        <v>1000000</v>
      </c>
      <c r="L37" s="28">
        <f>SUM(J37:K37)</f>
        <v>1240000</v>
      </c>
      <c r="M37" s="28">
        <f>L37*0.8</f>
        <v>992000</v>
      </c>
      <c r="N37" s="28">
        <f>L37*0.2</f>
        <v>248000</v>
      </c>
    </row>
    <row r="38" spans="1:14" x14ac:dyDescent="0.3">
      <c r="A38" s="21"/>
      <c r="B38" s="29" t="s">
        <v>38</v>
      </c>
      <c r="C38" s="23">
        <v>3</v>
      </c>
      <c r="D38" s="30">
        <f>E38/4</f>
        <v>15</v>
      </c>
      <c r="E38" s="31">
        <f>SUM(F38:G38)</f>
        <v>60</v>
      </c>
      <c r="F38" s="30">
        <v>10</v>
      </c>
      <c r="G38" s="30">
        <v>50</v>
      </c>
      <c r="J38" s="32">
        <f>12000*F38</f>
        <v>120000</v>
      </c>
      <c r="K38" s="32">
        <f>10000*G38</f>
        <v>500000</v>
      </c>
      <c r="L38" s="33">
        <f>SUM(J38:K38)</f>
        <v>620000</v>
      </c>
      <c r="M38" s="34">
        <f>L38*0.8</f>
        <v>496000</v>
      </c>
      <c r="N38" s="34">
        <f>L38*0.2</f>
        <v>124000</v>
      </c>
    </row>
    <row r="39" spans="1:14" x14ac:dyDescent="0.3">
      <c r="A39" s="21"/>
      <c r="B39" s="29" t="s">
        <v>39</v>
      </c>
      <c r="C39" s="23">
        <v>3</v>
      </c>
      <c r="D39" s="30">
        <f>E39/4</f>
        <v>15</v>
      </c>
      <c r="E39" s="31">
        <f>SUM(F39:G39)</f>
        <v>60</v>
      </c>
      <c r="F39" s="30">
        <v>10</v>
      </c>
      <c r="G39" s="30">
        <v>50</v>
      </c>
      <c r="J39" s="32">
        <f>12000*F39</f>
        <v>120000</v>
      </c>
      <c r="K39" s="32">
        <f>10000*G39</f>
        <v>500000</v>
      </c>
      <c r="L39" s="33">
        <f>SUM(J39:K39)</f>
        <v>620000</v>
      </c>
      <c r="M39" s="34">
        <f>L39*0.8</f>
        <v>496000</v>
      </c>
      <c r="N39" s="34">
        <f>L39*0.2</f>
        <v>124000</v>
      </c>
    </row>
    <row r="40" spans="1:14" ht="18" customHeight="1" x14ac:dyDescent="0.3">
      <c r="A40" s="21"/>
      <c r="B40" s="50" t="s">
        <v>40</v>
      </c>
      <c r="C40" s="51"/>
      <c r="D40" s="52"/>
      <c r="E40" s="53"/>
      <c r="F40" s="52"/>
      <c r="G40" s="52"/>
      <c r="J40" s="54"/>
      <c r="K40" s="54"/>
      <c r="L40" s="55"/>
      <c r="M40" s="55"/>
      <c r="N40" s="55"/>
    </row>
    <row r="41" spans="1:14" x14ac:dyDescent="0.3">
      <c r="C41"/>
      <c r="J41" s="35"/>
      <c r="K41" s="35"/>
      <c r="L41" s="35"/>
      <c r="M41" s="35"/>
      <c r="N41" s="35"/>
    </row>
    <row r="42" spans="1:14" ht="18" customHeight="1" x14ac:dyDescent="0.3">
      <c r="A42" s="21"/>
      <c r="B42" s="20"/>
      <c r="C42" s="80" t="s">
        <v>2</v>
      </c>
      <c r="D42" s="81"/>
      <c r="E42" s="81"/>
      <c r="F42" s="81"/>
      <c r="G42" s="81"/>
      <c r="J42" s="54"/>
      <c r="K42" s="54"/>
      <c r="L42" s="55"/>
      <c r="M42" s="55"/>
      <c r="N42" s="55"/>
    </row>
    <row r="43" spans="1:14" ht="18" customHeight="1" x14ac:dyDescent="0.3">
      <c r="A43" s="21"/>
      <c r="B43" s="20"/>
      <c r="C43" s="23" t="s">
        <v>5</v>
      </c>
      <c r="D43" s="7" t="s">
        <v>6</v>
      </c>
      <c r="E43" s="7" t="s">
        <v>7</v>
      </c>
      <c r="F43" s="8" t="s">
        <v>8</v>
      </c>
      <c r="G43" s="8" t="s">
        <v>9</v>
      </c>
      <c r="J43" s="54"/>
      <c r="K43" s="54"/>
      <c r="L43" s="55"/>
      <c r="M43" s="55"/>
      <c r="N43" s="55"/>
    </row>
    <row r="44" spans="1:14" x14ac:dyDescent="0.3">
      <c r="A44" s="21"/>
      <c r="B44" s="36" t="s">
        <v>41</v>
      </c>
      <c r="C44" s="23">
        <f>D44/5</f>
        <v>4</v>
      </c>
      <c r="D44" s="37">
        <f>E44/4</f>
        <v>20</v>
      </c>
      <c r="E44" s="38">
        <f>SUM(F44:G44)</f>
        <v>80</v>
      </c>
      <c r="F44" s="37">
        <f>SUM(F45:F46)</f>
        <v>10</v>
      </c>
      <c r="G44" s="37">
        <f>SUM(G45:G46)</f>
        <v>70</v>
      </c>
      <c r="J44" s="26">
        <f>12000*F44</f>
        <v>120000</v>
      </c>
      <c r="K44" s="26">
        <f>10000*G44</f>
        <v>700000</v>
      </c>
      <c r="L44" s="28">
        <f>SUM(J44:K44)</f>
        <v>820000</v>
      </c>
      <c r="M44" s="28">
        <f>L44*0.8</f>
        <v>656000</v>
      </c>
      <c r="N44" s="28">
        <f>L44*0.2</f>
        <v>164000</v>
      </c>
    </row>
    <row r="45" spans="1:14" x14ac:dyDescent="0.3">
      <c r="A45" s="21"/>
      <c r="B45" s="29" t="s">
        <v>42</v>
      </c>
      <c r="C45" s="23">
        <v>2</v>
      </c>
      <c r="D45" s="30">
        <f>E45/4</f>
        <v>11.25</v>
      </c>
      <c r="E45" s="31">
        <f>SUM(F45:G45)</f>
        <v>45</v>
      </c>
      <c r="F45" s="30">
        <v>5</v>
      </c>
      <c r="G45" s="30">
        <v>40</v>
      </c>
      <c r="J45" s="32">
        <f>12000*F45</f>
        <v>60000</v>
      </c>
      <c r="K45" s="32">
        <f>10000*G45</f>
        <v>400000</v>
      </c>
      <c r="L45" s="33">
        <f>SUM(J45:K45)</f>
        <v>460000</v>
      </c>
      <c r="M45" s="34">
        <f>L45*0.8</f>
        <v>368000</v>
      </c>
      <c r="N45" s="34">
        <f>L45*0.2</f>
        <v>92000</v>
      </c>
    </row>
    <row r="46" spans="1:14" x14ac:dyDescent="0.3">
      <c r="A46" s="21"/>
      <c r="B46" s="29" t="s">
        <v>43</v>
      </c>
      <c r="C46" s="23">
        <v>2</v>
      </c>
      <c r="D46" s="30">
        <f>E46/4</f>
        <v>8.75</v>
      </c>
      <c r="E46" s="31">
        <f>SUM(F46:G46)</f>
        <v>35</v>
      </c>
      <c r="F46" s="30">
        <v>5</v>
      </c>
      <c r="G46" s="30">
        <v>30</v>
      </c>
      <c r="J46" s="32">
        <f>12000*F46</f>
        <v>60000</v>
      </c>
      <c r="K46" s="32">
        <f>10000*G46</f>
        <v>300000</v>
      </c>
      <c r="L46" s="33">
        <f>SUM(J46:K46)</f>
        <v>360000</v>
      </c>
      <c r="M46" s="34">
        <f>L46*0.8</f>
        <v>288000</v>
      </c>
      <c r="N46" s="34">
        <f>L46*0.2</f>
        <v>72000</v>
      </c>
    </row>
    <row r="47" spans="1:14" x14ac:dyDescent="0.3">
      <c r="C47"/>
      <c r="J47" s="35"/>
      <c r="K47" s="35"/>
      <c r="L47" s="35"/>
      <c r="M47" s="35"/>
      <c r="N47" s="35"/>
    </row>
    <row r="48" spans="1:14" x14ac:dyDescent="0.3">
      <c r="A48" s="21"/>
      <c r="B48" s="20"/>
      <c r="C48" s="78" t="s">
        <v>2</v>
      </c>
      <c r="D48" s="79"/>
      <c r="E48" s="79"/>
      <c r="F48" s="79"/>
      <c r="G48" s="79"/>
      <c r="J48" s="32"/>
      <c r="K48" s="32"/>
      <c r="L48" s="33"/>
      <c r="M48" s="34"/>
      <c r="N48" s="34"/>
    </row>
    <row r="49" spans="1:14" x14ac:dyDescent="0.3">
      <c r="A49" s="21"/>
      <c r="B49" s="20"/>
      <c r="C49" s="23" t="s">
        <v>5</v>
      </c>
      <c r="D49" s="7" t="s">
        <v>6</v>
      </c>
      <c r="E49" s="7" t="s">
        <v>7</v>
      </c>
      <c r="F49" s="8" t="s">
        <v>8</v>
      </c>
      <c r="G49" s="8" t="s">
        <v>9</v>
      </c>
      <c r="J49" s="32"/>
      <c r="K49" s="32"/>
      <c r="L49" s="33"/>
      <c r="M49" s="34"/>
      <c r="N49" s="34"/>
    </row>
    <row r="50" spans="1:14" x14ac:dyDescent="0.3">
      <c r="A50" s="21"/>
      <c r="B50" s="36" t="s">
        <v>44</v>
      </c>
      <c r="C50" s="23">
        <f>SUM(C51:C54)</f>
        <v>7</v>
      </c>
      <c r="D50" s="37">
        <f>E50/4</f>
        <v>32.5</v>
      </c>
      <c r="E50" s="38">
        <f>SUM(F50:G50)</f>
        <v>130</v>
      </c>
      <c r="F50" s="37">
        <f>SUM(F51:F54)</f>
        <v>10</v>
      </c>
      <c r="G50" s="37">
        <f>SUM(G51:G54)</f>
        <v>120</v>
      </c>
      <c r="J50" s="26">
        <f>12000*F50</f>
        <v>120000</v>
      </c>
      <c r="K50" s="26">
        <f>10000*G50</f>
        <v>1200000</v>
      </c>
      <c r="L50" s="28">
        <f>SUM(J50:K50)</f>
        <v>1320000</v>
      </c>
      <c r="M50" s="28">
        <f>L50*0.8</f>
        <v>1056000</v>
      </c>
      <c r="N50" s="28">
        <f>L50*0.2</f>
        <v>264000</v>
      </c>
    </row>
    <row r="51" spans="1:14" x14ac:dyDescent="0.3">
      <c r="A51" s="21"/>
      <c r="B51" s="29" t="s">
        <v>45</v>
      </c>
      <c r="C51" s="23">
        <v>2</v>
      </c>
      <c r="D51" s="30">
        <f>E51/4</f>
        <v>7.75</v>
      </c>
      <c r="E51" s="30">
        <f>SUM(F51:G51)</f>
        <v>31</v>
      </c>
      <c r="F51" s="30">
        <v>1</v>
      </c>
      <c r="G51" s="30">
        <v>30</v>
      </c>
      <c r="J51" s="32">
        <f>12000*F51</f>
        <v>12000</v>
      </c>
      <c r="K51" s="32">
        <f>10000*G51</f>
        <v>300000</v>
      </c>
      <c r="L51" s="33">
        <f>SUM(J51:K51)</f>
        <v>312000</v>
      </c>
      <c r="M51" s="34">
        <f>L51*0.8</f>
        <v>249600</v>
      </c>
      <c r="N51" s="34">
        <f>L51*0.2</f>
        <v>62400</v>
      </c>
    </row>
    <row r="52" spans="1:14" x14ac:dyDescent="0.3">
      <c r="A52" s="21"/>
      <c r="B52" s="29" t="s">
        <v>46</v>
      </c>
      <c r="C52" s="23">
        <v>2</v>
      </c>
      <c r="D52" s="30">
        <f>E52/4</f>
        <v>11.25</v>
      </c>
      <c r="E52" s="31">
        <f>SUM(F52:G52)</f>
        <v>45</v>
      </c>
      <c r="F52" s="30">
        <v>5</v>
      </c>
      <c r="G52" s="30">
        <v>40</v>
      </c>
      <c r="J52" s="32">
        <f>12000*F52</f>
        <v>60000</v>
      </c>
      <c r="K52" s="32">
        <f>10000*G52</f>
        <v>400000</v>
      </c>
      <c r="L52" s="33">
        <f>SUM(J52:K52)</f>
        <v>460000</v>
      </c>
      <c r="M52" s="34">
        <f>L52*0.8</f>
        <v>368000</v>
      </c>
      <c r="N52" s="34">
        <f>L52*0.2</f>
        <v>92000</v>
      </c>
    </row>
    <row r="53" spans="1:14" x14ac:dyDescent="0.3">
      <c r="A53" s="21"/>
      <c r="B53" s="29" t="s">
        <v>47</v>
      </c>
      <c r="C53" s="23">
        <v>2</v>
      </c>
      <c r="D53" s="30">
        <f>E53/4</f>
        <v>8</v>
      </c>
      <c r="E53" s="31">
        <f>SUM(F53:G53)</f>
        <v>32</v>
      </c>
      <c r="F53" s="30">
        <v>2</v>
      </c>
      <c r="G53" s="30">
        <v>30</v>
      </c>
      <c r="J53" s="32">
        <f>12000*F53</f>
        <v>24000</v>
      </c>
      <c r="K53" s="32">
        <f>10000*G53</f>
        <v>300000</v>
      </c>
      <c r="L53" s="33">
        <f>SUM(J53:K53)</f>
        <v>324000</v>
      </c>
      <c r="M53" s="34">
        <f>L53*0.8</f>
        <v>259200</v>
      </c>
      <c r="N53" s="34">
        <f>L53*0.2</f>
        <v>64800</v>
      </c>
    </row>
    <row r="54" spans="1:14" x14ac:dyDescent="0.3">
      <c r="A54" s="21"/>
      <c r="B54" s="29" t="s">
        <v>48</v>
      </c>
      <c r="C54" s="23">
        <v>1</v>
      </c>
      <c r="D54" s="30">
        <f>E54/4</f>
        <v>5.5</v>
      </c>
      <c r="E54" s="31">
        <f>SUM(F54:G54)</f>
        <v>22</v>
      </c>
      <c r="F54" s="30">
        <v>2</v>
      </c>
      <c r="G54" s="30">
        <v>20</v>
      </c>
      <c r="J54" s="32">
        <f>12000*F54</f>
        <v>24000</v>
      </c>
      <c r="K54" s="32">
        <f>10000*G54</f>
        <v>200000</v>
      </c>
      <c r="L54" s="33">
        <f>SUM(J54:K54)</f>
        <v>224000</v>
      </c>
      <c r="M54" s="34">
        <f>L54*0.8</f>
        <v>179200</v>
      </c>
      <c r="N54" s="34">
        <f>L54*0.2</f>
        <v>44800</v>
      </c>
    </row>
    <row r="55" spans="1:14" x14ac:dyDescent="0.3">
      <c r="C55"/>
      <c r="J55" s="35"/>
      <c r="K55" s="35"/>
      <c r="L55" s="35"/>
      <c r="M55" s="35"/>
      <c r="N55" s="35"/>
    </row>
    <row r="56" spans="1:14" x14ac:dyDescent="0.3">
      <c r="A56" s="21"/>
      <c r="B56" s="20"/>
      <c r="C56" s="78" t="s">
        <v>2</v>
      </c>
      <c r="D56" s="79"/>
      <c r="E56" s="79"/>
      <c r="F56" s="79"/>
      <c r="G56" s="79"/>
      <c r="J56" s="32"/>
      <c r="K56" s="32"/>
      <c r="L56" s="33"/>
      <c r="M56" s="34"/>
      <c r="N56" s="34"/>
    </row>
    <row r="57" spans="1:14" x14ac:dyDescent="0.3">
      <c r="A57" s="21"/>
      <c r="B57" s="20"/>
      <c r="C57" s="23" t="s">
        <v>5</v>
      </c>
      <c r="D57" s="7" t="s">
        <v>6</v>
      </c>
      <c r="E57" s="7" t="s">
        <v>7</v>
      </c>
      <c r="F57" s="8" t="s">
        <v>8</v>
      </c>
      <c r="G57" s="8" t="s">
        <v>9</v>
      </c>
      <c r="J57" s="32"/>
      <c r="K57" s="32"/>
      <c r="L57" s="33"/>
      <c r="M57" s="34"/>
      <c r="N57" s="34"/>
    </row>
    <row r="58" spans="1:14" x14ac:dyDescent="0.3">
      <c r="A58" s="56" t="s">
        <v>49</v>
      </c>
      <c r="B58" s="57" t="s">
        <v>49</v>
      </c>
      <c r="C58" s="23">
        <f>SUM(C59:C62)</f>
        <v>9</v>
      </c>
      <c r="D58" s="58">
        <f>E58/4</f>
        <v>35</v>
      </c>
      <c r="E58" s="15">
        <f>SUM(F58:G58)</f>
        <v>140</v>
      </c>
      <c r="F58" s="15">
        <f>SUM(F59:F62)</f>
        <v>20</v>
      </c>
      <c r="G58" s="15">
        <f>SUM(G59:G62)</f>
        <v>120</v>
      </c>
      <c r="J58" s="59">
        <f>12000*F58</f>
        <v>240000</v>
      </c>
      <c r="K58" s="59">
        <f>10000*G58</f>
        <v>1200000</v>
      </c>
      <c r="L58" s="60">
        <f>SUM(J58:K58)</f>
        <v>1440000</v>
      </c>
      <c r="M58" s="61">
        <f>L58*1</f>
        <v>1440000</v>
      </c>
      <c r="N58" s="61">
        <f>L58*0</f>
        <v>0</v>
      </c>
    </row>
    <row r="59" spans="1:14" x14ac:dyDescent="0.3">
      <c r="A59" s="62"/>
      <c r="B59" s="63" t="s">
        <v>50</v>
      </c>
      <c r="C59" s="23">
        <v>2</v>
      </c>
      <c r="D59" s="30">
        <f>E59/4</f>
        <v>8.75</v>
      </c>
      <c r="E59" s="31">
        <f>SUM(F59:G59)</f>
        <v>35</v>
      </c>
      <c r="F59" s="64">
        <v>5</v>
      </c>
      <c r="G59" s="64">
        <v>30</v>
      </c>
      <c r="J59" s="32">
        <f>12000*F59</f>
        <v>60000</v>
      </c>
      <c r="K59" s="32">
        <f>10000*G59</f>
        <v>300000</v>
      </c>
      <c r="L59" s="34">
        <f>SUM(J59:K59)</f>
        <v>360000</v>
      </c>
      <c r="M59" s="65">
        <f>L59*1</f>
        <v>360000</v>
      </c>
      <c r="N59" s="65">
        <f>L59*0</f>
        <v>0</v>
      </c>
    </row>
    <row r="60" spans="1:14" x14ac:dyDescent="0.3">
      <c r="A60" s="62"/>
      <c r="B60" s="63" t="s">
        <v>51</v>
      </c>
      <c r="C60" s="23">
        <v>2</v>
      </c>
      <c r="D60" s="30">
        <f>E60/4</f>
        <v>8.75</v>
      </c>
      <c r="E60" s="31">
        <f>SUM(F60:G60)</f>
        <v>35</v>
      </c>
      <c r="F60" s="64">
        <v>5</v>
      </c>
      <c r="G60" s="64">
        <v>30</v>
      </c>
      <c r="J60" s="32">
        <f>12000*F60</f>
        <v>60000</v>
      </c>
      <c r="K60" s="32">
        <f>10000*G60</f>
        <v>300000</v>
      </c>
      <c r="L60" s="34">
        <f>SUM(J60:K60)</f>
        <v>360000</v>
      </c>
      <c r="M60" s="65">
        <f>L60*1</f>
        <v>360000</v>
      </c>
      <c r="N60" s="65"/>
    </row>
    <row r="61" spans="1:14" x14ac:dyDescent="0.3">
      <c r="A61" s="62"/>
      <c r="B61" s="63" t="s">
        <v>52</v>
      </c>
      <c r="C61" s="23">
        <v>3</v>
      </c>
      <c r="D61" s="30">
        <f>E61/4</f>
        <v>8.75</v>
      </c>
      <c r="E61" s="31">
        <f>SUM(F61:G61)</f>
        <v>35</v>
      </c>
      <c r="F61" s="64">
        <v>5</v>
      </c>
      <c r="G61" s="64">
        <v>30</v>
      </c>
      <c r="J61" s="32">
        <f>12000*F61</f>
        <v>60000</v>
      </c>
      <c r="K61" s="32">
        <f>10000*G61</f>
        <v>300000</v>
      </c>
      <c r="L61" s="34">
        <f>SUM(J61:K61)</f>
        <v>360000</v>
      </c>
      <c r="M61" s="65">
        <f>L61*1</f>
        <v>360000</v>
      </c>
      <c r="N61" s="65"/>
    </row>
    <row r="62" spans="1:14" x14ac:dyDescent="0.3">
      <c r="A62" s="62"/>
      <c r="B62" s="63" t="s">
        <v>53</v>
      </c>
      <c r="C62" s="23">
        <v>2</v>
      </c>
      <c r="D62" s="30">
        <f>E62/4</f>
        <v>8.75</v>
      </c>
      <c r="E62" s="31">
        <f>SUM(F62:G62)</f>
        <v>35</v>
      </c>
      <c r="F62" s="64">
        <v>5</v>
      </c>
      <c r="G62" s="64">
        <v>30</v>
      </c>
      <c r="J62" s="32">
        <f>12000*F62</f>
        <v>60000</v>
      </c>
      <c r="K62" s="32">
        <f>10000*G62</f>
        <v>300000</v>
      </c>
      <c r="L62" s="34">
        <f>SUM(J62:K62)</f>
        <v>360000</v>
      </c>
      <c r="M62" s="65">
        <f>L62*1</f>
        <v>360000</v>
      </c>
      <c r="N62" s="65"/>
    </row>
    <row r="63" spans="1:14" x14ac:dyDescent="0.3">
      <c r="C63"/>
      <c r="J63" s="35"/>
      <c r="K63" s="35"/>
      <c r="L63" s="35"/>
      <c r="M63" s="35"/>
      <c r="N63" s="35"/>
    </row>
    <row r="64" spans="1:14" x14ac:dyDescent="0.3">
      <c r="A64" s="62"/>
      <c r="B64" s="20"/>
      <c r="C64" s="78" t="s">
        <v>2</v>
      </c>
      <c r="D64" s="79"/>
      <c r="E64" s="79"/>
      <c r="F64" s="79"/>
      <c r="G64" s="79"/>
      <c r="J64" s="32"/>
      <c r="K64" s="32"/>
      <c r="L64" s="34"/>
      <c r="M64" s="65"/>
      <c r="N64" s="65"/>
    </row>
    <row r="65" spans="1:14" x14ac:dyDescent="0.3">
      <c r="A65" s="62"/>
      <c r="B65" s="20"/>
      <c r="C65" s="23" t="s">
        <v>5</v>
      </c>
      <c r="D65" s="7" t="s">
        <v>6</v>
      </c>
      <c r="E65" s="7" t="s">
        <v>7</v>
      </c>
      <c r="F65" s="8" t="s">
        <v>8</v>
      </c>
      <c r="G65" s="8" t="s">
        <v>9</v>
      </c>
      <c r="J65" s="32"/>
      <c r="K65" s="32"/>
      <c r="L65" s="34"/>
      <c r="M65" s="65"/>
      <c r="N65" s="65"/>
    </row>
    <row r="66" spans="1:14" x14ac:dyDescent="0.3">
      <c r="A66" s="66" t="s">
        <v>54</v>
      </c>
      <c r="B66" s="57" t="s">
        <v>54</v>
      </c>
      <c r="C66" s="23">
        <f t="shared" ref="C66" si="8">D66/5</f>
        <v>8.35</v>
      </c>
      <c r="D66" s="67">
        <f t="shared" ref="D66:D71" si="9">E66/4</f>
        <v>41.75</v>
      </c>
      <c r="E66" s="15">
        <f t="shared" ref="E66:E71" si="10">SUM(F66:G66)</f>
        <v>167</v>
      </c>
      <c r="F66" s="68">
        <f>SUM(F67:F71)</f>
        <v>10</v>
      </c>
      <c r="G66" s="68">
        <f>SUM(G67:G71)</f>
        <v>157</v>
      </c>
      <c r="J66" s="59">
        <f t="shared" ref="J66:J71" si="11">12000*F66</f>
        <v>120000</v>
      </c>
      <c r="K66" s="59">
        <f t="shared" ref="K66:K71" si="12">10000*G66</f>
        <v>1570000</v>
      </c>
      <c r="L66" s="60">
        <f t="shared" ref="L66:L71" si="13">SUM(J66:K66)</f>
        <v>1690000</v>
      </c>
      <c r="M66" s="61">
        <f t="shared" ref="M66:M71" si="14">L66*0.8</f>
        <v>1352000</v>
      </c>
      <c r="N66" s="69">
        <f t="shared" ref="N66:N71" si="15">L66*0.2</f>
        <v>338000</v>
      </c>
    </row>
    <row r="67" spans="1:14" x14ac:dyDescent="0.3">
      <c r="B67" s="29" t="s">
        <v>55</v>
      </c>
      <c r="C67" s="23">
        <v>2</v>
      </c>
      <c r="D67" s="30">
        <f t="shared" si="9"/>
        <v>10</v>
      </c>
      <c r="E67" s="31">
        <f t="shared" si="10"/>
        <v>40</v>
      </c>
      <c r="F67" s="70">
        <v>1</v>
      </c>
      <c r="G67" s="70">
        <v>39</v>
      </c>
      <c r="J67" s="70">
        <f t="shared" si="11"/>
        <v>12000</v>
      </c>
      <c r="K67" s="32">
        <f t="shared" si="12"/>
        <v>390000</v>
      </c>
      <c r="L67" s="34">
        <f t="shared" si="13"/>
        <v>402000</v>
      </c>
      <c r="M67" s="34">
        <f t="shared" si="14"/>
        <v>321600</v>
      </c>
      <c r="N67" s="34">
        <f t="shared" si="15"/>
        <v>80400</v>
      </c>
    </row>
    <row r="68" spans="1:14" x14ac:dyDescent="0.3">
      <c r="B68" s="29" t="s">
        <v>56</v>
      </c>
      <c r="C68" s="23">
        <v>2</v>
      </c>
      <c r="D68" s="30">
        <f t="shared" si="9"/>
        <v>7.75</v>
      </c>
      <c r="E68" s="31">
        <f t="shared" si="10"/>
        <v>31</v>
      </c>
      <c r="F68" s="70">
        <v>1</v>
      </c>
      <c r="G68" s="70">
        <v>30</v>
      </c>
      <c r="J68" s="70">
        <f t="shared" si="11"/>
        <v>12000</v>
      </c>
      <c r="K68" s="32">
        <f t="shared" si="12"/>
        <v>300000</v>
      </c>
      <c r="L68" s="34">
        <f t="shared" si="13"/>
        <v>312000</v>
      </c>
      <c r="M68" s="34">
        <f t="shared" si="14"/>
        <v>249600</v>
      </c>
      <c r="N68" s="34">
        <f t="shared" si="15"/>
        <v>62400</v>
      </c>
    </row>
    <row r="69" spans="1:14" x14ac:dyDescent="0.3">
      <c r="B69" s="29" t="s">
        <v>57</v>
      </c>
      <c r="C69" s="23">
        <v>1</v>
      </c>
      <c r="D69" s="30">
        <f t="shared" si="9"/>
        <v>7.25</v>
      </c>
      <c r="E69" s="31">
        <f t="shared" si="10"/>
        <v>29</v>
      </c>
      <c r="F69" s="70">
        <v>1</v>
      </c>
      <c r="G69" s="70">
        <v>28</v>
      </c>
      <c r="J69" s="70">
        <f t="shared" si="11"/>
        <v>12000</v>
      </c>
      <c r="K69" s="32">
        <f t="shared" si="12"/>
        <v>280000</v>
      </c>
      <c r="L69" s="34">
        <f t="shared" si="13"/>
        <v>292000</v>
      </c>
      <c r="M69" s="34">
        <f t="shared" si="14"/>
        <v>233600</v>
      </c>
      <c r="N69" s="34">
        <f t="shared" si="15"/>
        <v>58400</v>
      </c>
    </row>
    <row r="70" spans="1:14" x14ac:dyDescent="0.3">
      <c r="B70" s="29" t="s">
        <v>58</v>
      </c>
      <c r="C70" s="23">
        <v>1</v>
      </c>
      <c r="D70" s="30">
        <f t="shared" si="9"/>
        <v>6.5</v>
      </c>
      <c r="E70" s="31">
        <f t="shared" si="10"/>
        <v>26</v>
      </c>
      <c r="F70" s="70">
        <v>1</v>
      </c>
      <c r="G70" s="70">
        <v>25</v>
      </c>
      <c r="J70" s="70">
        <f t="shared" si="11"/>
        <v>12000</v>
      </c>
      <c r="K70" s="32">
        <f t="shared" si="12"/>
        <v>250000</v>
      </c>
      <c r="L70" s="34">
        <f t="shared" si="13"/>
        <v>262000</v>
      </c>
      <c r="M70" s="34">
        <f t="shared" si="14"/>
        <v>209600</v>
      </c>
      <c r="N70" s="34">
        <f t="shared" si="15"/>
        <v>52400</v>
      </c>
    </row>
    <row r="71" spans="1:14" x14ac:dyDescent="0.3">
      <c r="B71" s="29" t="s">
        <v>59</v>
      </c>
      <c r="C71" s="23">
        <v>2</v>
      </c>
      <c r="D71" s="30">
        <f t="shared" si="9"/>
        <v>10.25</v>
      </c>
      <c r="E71" s="31">
        <f t="shared" si="10"/>
        <v>41</v>
      </c>
      <c r="F71" s="70">
        <v>6</v>
      </c>
      <c r="G71" s="70">
        <v>35</v>
      </c>
      <c r="J71" s="70">
        <f t="shared" si="11"/>
        <v>72000</v>
      </c>
      <c r="K71" s="32">
        <f t="shared" si="12"/>
        <v>350000</v>
      </c>
      <c r="L71" s="34">
        <f t="shared" si="13"/>
        <v>422000</v>
      </c>
      <c r="M71" s="34">
        <f t="shared" si="14"/>
        <v>337600</v>
      </c>
      <c r="N71" s="34">
        <f t="shared" si="15"/>
        <v>84400</v>
      </c>
    </row>
    <row r="72" spans="1:14" x14ac:dyDescent="0.3">
      <c r="C72"/>
      <c r="J72" s="35"/>
      <c r="K72" s="35"/>
      <c r="L72" s="35"/>
      <c r="M72" s="35"/>
      <c r="N72" s="35"/>
    </row>
    <row r="73" spans="1:14" x14ac:dyDescent="0.3">
      <c r="B73" s="20"/>
      <c r="C73" s="78" t="s">
        <v>2</v>
      </c>
      <c r="D73" s="79"/>
      <c r="E73" s="79"/>
      <c r="F73" s="79"/>
      <c r="G73" s="79"/>
      <c r="J73" s="70"/>
      <c r="K73" s="32"/>
      <c r="L73" s="34"/>
      <c r="M73" s="34"/>
      <c r="N73" s="34"/>
    </row>
    <row r="74" spans="1:14" x14ac:dyDescent="0.3">
      <c r="B74" s="20"/>
      <c r="C74" s="23" t="s">
        <v>5</v>
      </c>
      <c r="D74" s="7" t="s">
        <v>6</v>
      </c>
      <c r="E74" s="7" t="s">
        <v>7</v>
      </c>
      <c r="F74" s="8" t="s">
        <v>8</v>
      </c>
      <c r="G74" s="8" t="s">
        <v>9</v>
      </c>
      <c r="J74" s="70"/>
      <c r="K74" s="32"/>
      <c r="L74" s="34"/>
      <c r="M74" s="34"/>
      <c r="N74" s="34"/>
    </row>
    <row r="75" spans="1:14" x14ac:dyDescent="0.3">
      <c r="A75" s="12" t="s">
        <v>60</v>
      </c>
      <c r="B75" s="12" t="s">
        <v>60</v>
      </c>
      <c r="C75" s="23">
        <f>D75/5</f>
        <v>5</v>
      </c>
      <c r="D75" s="58">
        <f>E75/4</f>
        <v>25</v>
      </c>
      <c r="E75" s="15">
        <f>SUM(F75:G75)</f>
        <v>100</v>
      </c>
      <c r="F75" s="68">
        <v>40</v>
      </c>
      <c r="G75" s="68">
        <v>60</v>
      </c>
      <c r="J75" s="59">
        <f>12000*F75</f>
        <v>480000</v>
      </c>
      <c r="K75" s="59">
        <f>10000*G75</f>
        <v>600000</v>
      </c>
      <c r="L75" s="60">
        <f>SUM(J75:K75)</f>
        <v>1080000</v>
      </c>
      <c r="M75" s="61">
        <f>L75*0.8</f>
        <v>864000</v>
      </c>
      <c r="N75" s="69">
        <f>L75*0.2</f>
        <v>216000</v>
      </c>
    </row>
    <row r="76" spans="1:14" x14ac:dyDescent="0.3">
      <c r="A76" s="62"/>
      <c r="B76" s="29" t="s">
        <v>61</v>
      </c>
      <c r="C76" s="23">
        <v>3</v>
      </c>
      <c r="D76" s="71">
        <f>E76/4</f>
        <v>12.5</v>
      </c>
      <c r="E76" s="64">
        <f>SUM(F76:G76)</f>
        <v>50</v>
      </c>
      <c r="F76" s="72">
        <v>20</v>
      </c>
      <c r="G76" s="72">
        <v>30</v>
      </c>
      <c r="J76" s="32">
        <f>12000*F76</f>
        <v>240000</v>
      </c>
      <c r="K76" s="32">
        <f>10000*G76</f>
        <v>300000</v>
      </c>
      <c r="L76" s="34">
        <f>SUM(J76:K76)</f>
        <v>540000</v>
      </c>
      <c r="M76" s="65">
        <f>L76*0.8</f>
        <v>432000</v>
      </c>
      <c r="N76" s="73">
        <f>L76*0.2</f>
        <v>108000</v>
      </c>
    </row>
    <row r="77" spans="1:14" x14ac:dyDescent="0.3">
      <c r="A77" s="62"/>
      <c r="B77" s="29" t="s">
        <v>62</v>
      </c>
      <c r="C77" s="23">
        <f>D77/5</f>
        <v>2.5</v>
      </c>
      <c r="D77" s="71">
        <f>E77/4</f>
        <v>12.5</v>
      </c>
      <c r="E77" s="64">
        <f>SUM(F77:G77)</f>
        <v>50</v>
      </c>
      <c r="F77" s="72">
        <v>20</v>
      </c>
      <c r="G77" s="72">
        <v>30</v>
      </c>
      <c r="J77" s="32">
        <f>12000*F77</f>
        <v>240000</v>
      </c>
      <c r="K77" s="32">
        <f>10000*G77</f>
        <v>300000</v>
      </c>
      <c r="L77" s="34">
        <f>SUM(J77:K77)</f>
        <v>540000</v>
      </c>
      <c r="M77" s="65">
        <f>L77*0.8</f>
        <v>432000</v>
      </c>
      <c r="N77" s="73">
        <f>L77*0.2</f>
        <v>108000</v>
      </c>
    </row>
    <row r="78" spans="1:14" x14ac:dyDescent="0.3">
      <c r="C78"/>
      <c r="J78" s="35"/>
      <c r="K78" s="35"/>
      <c r="L78" s="35"/>
      <c r="M78" s="35"/>
      <c r="N78" s="35"/>
    </row>
    <row r="79" spans="1:14" x14ac:dyDescent="0.3">
      <c r="A79" s="62"/>
      <c r="B79" s="20"/>
      <c r="C79" s="78" t="s">
        <v>2</v>
      </c>
      <c r="D79" s="79"/>
      <c r="E79" s="79"/>
      <c r="F79" s="79"/>
      <c r="G79" s="79"/>
      <c r="J79" s="32"/>
      <c r="K79" s="32"/>
      <c r="L79" s="34"/>
      <c r="M79" s="65"/>
      <c r="N79" s="73"/>
    </row>
    <row r="80" spans="1:14" x14ac:dyDescent="0.3">
      <c r="A80" s="62"/>
      <c r="B80" s="20"/>
      <c r="C80" s="23" t="s">
        <v>5</v>
      </c>
      <c r="D80" s="7" t="s">
        <v>6</v>
      </c>
      <c r="E80" s="7" t="s">
        <v>7</v>
      </c>
      <c r="F80" s="8" t="s">
        <v>8</v>
      </c>
      <c r="G80" s="8" t="s">
        <v>9</v>
      </c>
      <c r="J80" s="32"/>
      <c r="K80" s="32"/>
      <c r="L80" s="34"/>
      <c r="M80" s="65"/>
      <c r="N80" s="73"/>
    </row>
    <row r="81" spans="1:14" x14ac:dyDescent="0.3">
      <c r="A81" s="56" t="s">
        <v>63</v>
      </c>
      <c r="B81" s="56" t="s">
        <v>63</v>
      </c>
      <c r="C81" s="23">
        <f>SUM(C82:C86)</f>
        <v>8</v>
      </c>
      <c r="D81" s="58">
        <f>E81/4</f>
        <v>31.25</v>
      </c>
      <c r="E81" s="15">
        <f>SUM(F81:G81)</f>
        <v>125</v>
      </c>
      <c r="F81" s="68">
        <f>SUM(F82:F86)</f>
        <v>40</v>
      </c>
      <c r="G81" s="68">
        <f>SUM(G82:G86)</f>
        <v>85</v>
      </c>
      <c r="J81" s="59">
        <f>12000*F81</f>
        <v>480000</v>
      </c>
      <c r="K81" s="59">
        <f>10000*G81</f>
        <v>850000</v>
      </c>
      <c r="L81" s="60">
        <f>SUM(J81:K81)</f>
        <v>1330000</v>
      </c>
      <c r="M81" s="61">
        <f>L81*0.8</f>
        <v>1064000</v>
      </c>
      <c r="N81" s="69">
        <f>L81*0.2</f>
        <v>266000</v>
      </c>
    </row>
    <row r="82" spans="1:14" x14ac:dyDescent="0.3">
      <c r="B82" s="74" t="s">
        <v>66</v>
      </c>
      <c r="C82" s="23">
        <v>2</v>
      </c>
      <c r="D82" s="71">
        <f>E82/4</f>
        <v>7.5</v>
      </c>
      <c r="E82" s="76">
        <f>SUM(F82:G82)</f>
        <v>30</v>
      </c>
      <c r="F82" s="77">
        <v>10</v>
      </c>
      <c r="G82" s="77">
        <v>20</v>
      </c>
      <c r="J82" s="32">
        <f>12000*F82</f>
        <v>120000</v>
      </c>
      <c r="K82" s="32">
        <f>10000*G82</f>
        <v>200000</v>
      </c>
      <c r="L82" s="34">
        <f>SUM(J82:K82)</f>
        <v>320000</v>
      </c>
      <c r="M82" s="65">
        <f>L82*0.8</f>
        <v>256000</v>
      </c>
      <c r="N82" s="73">
        <f>L82*0.2</f>
        <v>64000</v>
      </c>
    </row>
    <row r="83" spans="1:14" x14ac:dyDescent="0.3">
      <c r="B83" s="29" t="s">
        <v>26</v>
      </c>
      <c r="C83" s="23">
        <v>1</v>
      </c>
      <c r="D83" s="71">
        <f t="shared" ref="D83:D86" si="16">E83/4</f>
        <v>3.75</v>
      </c>
      <c r="E83" s="77">
        <f t="shared" ref="E83:E84" si="17">SUM(F83:G83)</f>
        <v>15</v>
      </c>
      <c r="F83" s="77">
        <v>0</v>
      </c>
      <c r="G83" s="77">
        <v>15</v>
      </c>
      <c r="J83" s="32"/>
      <c r="K83" s="32"/>
      <c r="L83" s="34"/>
      <c r="M83" s="65"/>
      <c r="N83" s="73"/>
    </row>
    <row r="84" spans="1:14" x14ac:dyDescent="0.3">
      <c r="B84" s="29" t="s">
        <v>27</v>
      </c>
      <c r="C84" s="23">
        <v>1</v>
      </c>
      <c r="D84" s="71">
        <f t="shared" si="16"/>
        <v>2.5</v>
      </c>
      <c r="E84" s="77">
        <f t="shared" si="17"/>
        <v>10</v>
      </c>
      <c r="F84" s="77">
        <v>0</v>
      </c>
      <c r="G84" s="77">
        <v>10</v>
      </c>
      <c r="J84" s="32"/>
      <c r="K84" s="32"/>
      <c r="L84" s="34"/>
      <c r="M84" s="65"/>
      <c r="N84" s="73"/>
    </row>
    <row r="85" spans="1:14" x14ac:dyDescent="0.3">
      <c r="B85" s="74" t="s">
        <v>65</v>
      </c>
      <c r="C85" s="23">
        <v>2</v>
      </c>
      <c r="D85" s="71">
        <f t="shared" si="16"/>
        <v>10</v>
      </c>
      <c r="E85" s="76">
        <f>SUM(F85:G85)</f>
        <v>40</v>
      </c>
      <c r="F85" s="77">
        <v>20</v>
      </c>
      <c r="G85" s="77">
        <v>20</v>
      </c>
      <c r="J85" s="32">
        <f>12000*F85</f>
        <v>240000</v>
      </c>
      <c r="K85" s="32">
        <f>10000*G85</f>
        <v>200000</v>
      </c>
      <c r="L85" s="34">
        <f>SUM(J85:K85)</f>
        <v>440000</v>
      </c>
      <c r="M85" s="65">
        <f>L85*0.8</f>
        <v>352000</v>
      </c>
      <c r="N85" s="73">
        <f>L85*0.2</f>
        <v>88000</v>
      </c>
    </row>
    <row r="86" spans="1:14" x14ac:dyDescent="0.3">
      <c r="A86" s="75"/>
      <c r="B86" s="74" t="s">
        <v>64</v>
      </c>
      <c r="C86" s="23">
        <v>2</v>
      </c>
      <c r="D86" s="71">
        <f t="shared" si="16"/>
        <v>7.5</v>
      </c>
      <c r="E86" s="76">
        <f>SUM(F86:G86)</f>
        <v>30</v>
      </c>
      <c r="F86" s="77">
        <v>10</v>
      </c>
      <c r="G86" s="77">
        <v>20</v>
      </c>
      <c r="J86" s="32">
        <f>12000*F86</f>
        <v>120000</v>
      </c>
      <c r="K86" s="32">
        <f>10000*G86</f>
        <v>200000</v>
      </c>
      <c r="L86" s="34">
        <f>SUM(J86:K86)</f>
        <v>320000</v>
      </c>
      <c r="M86" s="65">
        <f>L86*0.8</f>
        <v>256000</v>
      </c>
      <c r="N86" s="73">
        <f>L86*0.2</f>
        <v>64000</v>
      </c>
    </row>
  </sheetData>
  <mergeCells count="11">
    <mergeCell ref="C42:G42"/>
    <mergeCell ref="C1:G1"/>
    <mergeCell ref="C6:G6"/>
    <mergeCell ref="C20:G20"/>
    <mergeCell ref="C27:G27"/>
    <mergeCell ref="C35:G35"/>
    <mergeCell ref="C48:G48"/>
    <mergeCell ref="C56:G56"/>
    <mergeCell ref="C64:G64"/>
    <mergeCell ref="C73:G73"/>
    <mergeCell ref="C79:G79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OBJECTIFS TRACKING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Gaudens Romain ZOCLI</dc:creator>
  <cp:lastModifiedBy>Marcel ADISSA</cp:lastModifiedBy>
  <dcterms:created xsi:type="dcterms:W3CDTF">2026-10-13T10:48:52Z</dcterms:created>
  <dcterms:modified xsi:type="dcterms:W3CDTF">2026-10-19T10:04:37Z</dcterms:modified>
</cp:coreProperties>
</file>