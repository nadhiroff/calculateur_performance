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494c0943bd02416/Documents/2026/Celtiis/Reporting/"/>
    </mc:Choice>
  </mc:AlternateContent>
  <xr:revisionPtr revIDLastSave="0" documentId="8_{5574F473-2B26-421D-80B3-9E841C29C2FC}" xr6:coauthVersionLast="47" xr6:coauthVersionMax="47" xr10:uidLastSave="{00000000-0000-0000-0000-000000000000}"/>
  <bookViews>
    <workbookView xWindow="-98" yWindow="-98" windowWidth="21795" windowHeight="13875" tabRatio="500" firstSheet="1" activeTab="4" xr2:uid="{00000000-000D-0000-FFFF-FFFF00000000}"/>
  </bookViews>
  <sheets>
    <sheet name="Paramètres" sheetId="1" r:id="rId1"/>
    <sheet name="Agents 12-10" sheetId="2" r:id="rId2"/>
    <sheet name="Équipes 12-10" sheetId="3" r:id="rId3"/>
    <sheet name="Points d'attention" sheetId="4" r:id="rId4"/>
    <sheet name="Message WhatsAp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3" l="1"/>
  <c r="G14" i="3"/>
  <c r="D14" i="3"/>
  <c r="B14" i="3"/>
  <c r="C14" i="3" s="1"/>
  <c r="E14" i="3" s="1"/>
  <c r="H13" i="3"/>
  <c r="G13" i="3"/>
  <c r="D13" i="3"/>
  <c r="B13" i="3"/>
  <c r="C13" i="3" s="1"/>
  <c r="E13" i="3" s="1"/>
  <c r="H12" i="3"/>
  <c r="G12" i="3"/>
  <c r="D12" i="3"/>
  <c r="B12" i="3"/>
  <c r="C12" i="3" s="1"/>
  <c r="E12" i="3" s="1"/>
  <c r="H11" i="3"/>
  <c r="G11" i="3"/>
  <c r="D11" i="3"/>
  <c r="B11" i="3"/>
  <c r="C11" i="3" s="1"/>
  <c r="E11" i="3" s="1"/>
  <c r="H10" i="3"/>
  <c r="G10" i="3"/>
  <c r="D10" i="3"/>
  <c r="B10" i="3"/>
  <c r="C10" i="3" s="1"/>
  <c r="E10" i="3" s="1"/>
  <c r="H9" i="3"/>
  <c r="G9" i="3"/>
  <c r="D9" i="3"/>
  <c r="B9" i="3"/>
  <c r="C9" i="3" s="1"/>
  <c r="E9" i="3" s="1"/>
  <c r="H8" i="3"/>
  <c r="G8" i="3"/>
  <c r="D8" i="3"/>
  <c r="B8" i="3"/>
  <c r="C8" i="3" s="1"/>
  <c r="E8" i="3" s="1"/>
  <c r="H7" i="3"/>
  <c r="G7" i="3"/>
  <c r="D7" i="3"/>
  <c r="B7" i="3"/>
  <c r="C7" i="3" s="1"/>
  <c r="E7" i="3" s="1"/>
  <c r="H6" i="3"/>
  <c r="G6" i="3"/>
  <c r="D6" i="3"/>
  <c r="F6" i="3" s="1"/>
  <c r="J6" i="3" s="1"/>
  <c r="B6" i="3"/>
  <c r="C6" i="3" s="1"/>
  <c r="E6" i="3" s="1"/>
  <c r="H5" i="3"/>
  <c r="H15" i="3" s="1"/>
  <c r="G5" i="3"/>
  <c r="G15" i="3" s="1"/>
  <c r="D5" i="3"/>
  <c r="B5" i="3"/>
  <c r="E49" i="2"/>
  <c r="C49" i="2"/>
  <c r="G48" i="2"/>
  <c r="F48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G27" i="2"/>
  <c r="F27" i="2"/>
  <c r="D27" i="2"/>
  <c r="D49" i="2" s="1"/>
  <c r="F49" i="2" s="1"/>
  <c r="D26" i="2"/>
  <c r="D25" i="2"/>
  <c r="D24" i="2"/>
  <c r="D23" i="2"/>
  <c r="D22" i="2"/>
  <c r="D21" i="2"/>
  <c r="D20" i="2"/>
  <c r="D19" i="2"/>
  <c r="D18" i="2"/>
  <c r="G17" i="2"/>
  <c r="F17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15" i="3" l="1"/>
  <c r="B15" i="3"/>
  <c r="C5" i="3"/>
  <c r="F5" i="3" s="1"/>
  <c r="J5" i="3" s="1"/>
  <c r="J15" i="3" s="1"/>
  <c r="I48" i="2"/>
  <c r="L48" i="2"/>
  <c r="G47" i="2"/>
  <c r="F47" i="2"/>
  <c r="F46" i="2"/>
  <c r="G46" i="2"/>
  <c r="G45" i="2"/>
  <c r="F45" i="2"/>
  <c r="G44" i="2"/>
  <c r="F44" i="2"/>
  <c r="F43" i="2"/>
  <c r="G43" i="2"/>
  <c r="G42" i="2"/>
  <c r="F42" i="2"/>
  <c r="G41" i="2"/>
  <c r="F41" i="2"/>
  <c r="F40" i="2"/>
  <c r="G40" i="2"/>
  <c r="G39" i="2"/>
  <c r="F39" i="2"/>
  <c r="G38" i="2"/>
  <c r="F38" i="2"/>
  <c r="F37" i="2"/>
  <c r="G37" i="2"/>
  <c r="G36" i="2"/>
  <c r="F36" i="2"/>
  <c r="F35" i="2"/>
  <c r="G35" i="2"/>
  <c r="F34" i="2"/>
  <c r="G34" i="2"/>
  <c r="G33" i="2"/>
  <c r="F33" i="2"/>
  <c r="F32" i="2"/>
  <c r="G32" i="2"/>
  <c r="G31" i="2"/>
  <c r="F31" i="2"/>
  <c r="F30" i="2"/>
  <c r="G30" i="2"/>
  <c r="G29" i="2"/>
  <c r="F29" i="2"/>
  <c r="F28" i="2"/>
  <c r="G28" i="2"/>
  <c r="L27" i="2"/>
  <c r="I27" i="2"/>
  <c r="G26" i="2"/>
  <c r="F26" i="2"/>
  <c r="F25" i="2"/>
  <c r="G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L17" i="2"/>
  <c r="I17" i="2"/>
  <c r="F16" i="2"/>
  <c r="G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F8" i="2"/>
  <c r="G8" i="2"/>
  <c r="G7" i="2"/>
  <c r="F7" i="2"/>
  <c r="G6" i="2"/>
  <c r="F6" i="2"/>
  <c r="F5" i="2"/>
  <c r="G5" i="2"/>
  <c r="F14" i="3"/>
  <c r="J14" i="3" s="1"/>
  <c r="F12" i="3"/>
  <c r="J12" i="3" s="1"/>
  <c r="F9" i="3"/>
  <c r="J9" i="3" s="1"/>
  <c r="F8" i="3"/>
  <c r="J8" i="3" s="1"/>
  <c r="F13" i="3"/>
  <c r="J13" i="3" s="1"/>
  <c r="F11" i="3"/>
  <c r="J11" i="3" s="1"/>
  <c r="F10" i="3"/>
  <c r="J10" i="3" s="1"/>
  <c r="F7" i="3"/>
  <c r="J7" i="3" s="1"/>
  <c r="C15" i="3" l="1"/>
  <c r="E15" i="3" s="1"/>
  <c r="E5" i="3"/>
  <c r="I47" i="2"/>
  <c r="L47" i="2"/>
  <c r="I46" i="2"/>
  <c r="L46" i="2"/>
  <c r="L45" i="2"/>
  <c r="I45" i="2"/>
  <c r="I14" i="3"/>
  <c r="L44" i="2"/>
  <c r="I44" i="2"/>
  <c r="I43" i="2"/>
  <c r="L43" i="2"/>
  <c r="I13" i="3"/>
  <c r="I42" i="2"/>
  <c r="L42" i="2"/>
  <c r="L41" i="2"/>
  <c r="I41" i="2"/>
  <c r="L40" i="2"/>
  <c r="I40" i="2"/>
  <c r="L39" i="2"/>
  <c r="I39" i="2"/>
  <c r="L38" i="2"/>
  <c r="I12" i="3"/>
  <c r="I38" i="2"/>
  <c r="I37" i="2"/>
  <c r="L37" i="2"/>
  <c r="I36" i="2"/>
  <c r="L36" i="2"/>
  <c r="I35" i="2"/>
  <c r="L35" i="2"/>
  <c r="L34" i="2"/>
  <c r="I34" i="2"/>
  <c r="I11" i="3"/>
  <c r="I33" i="2"/>
  <c r="L33" i="2"/>
  <c r="I32" i="2"/>
  <c r="L32" i="2"/>
  <c r="I31" i="2"/>
  <c r="L31" i="2"/>
  <c r="L30" i="2"/>
  <c r="I30" i="2"/>
  <c r="I10" i="3"/>
  <c r="I29" i="2"/>
  <c r="L29" i="2"/>
  <c r="I28" i="2"/>
  <c r="I9" i="3"/>
  <c r="L28" i="2"/>
  <c r="I26" i="2"/>
  <c r="L26" i="2"/>
  <c r="H26" i="2" s="1"/>
  <c r="J26" i="2" s="1"/>
  <c r="I25" i="2"/>
  <c r="L25" i="2"/>
  <c r="I8" i="3"/>
  <c r="I24" i="2"/>
  <c r="L24" i="2"/>
  <c r="I23" i="2"/>
  <c r="L23" i="2"/>
  <c r="I22" i="2"/>
  <c r="L22" i="2"/>
  <c r="I21" i="2"/>
  <c r="L21" i="2"/>
  <c r="I7" i="3"/>
  <c r="I20" i="2"/>
  <c r="L20" i="2"/>
  <c r="I19" i="2"/>
  <c r="L19" i="2"/>
  <c r="I18" i="2"/>
  <c r="L18" i="2"/>
  <c r="I6" i="3"/>
  <c r="I16" i="2"/>
  <c r="L16" i="2"/>
  <c r="I15" i="2"/>
  <c r="L15" i="2"/>
  <c r="I14" i="2"/>
  <c r="L14" i="2"/>
  <c r="I13" i="2"/>
  <c r="L13" i="2"/>
  <c r="I12" i="2"/>
  <c r="L12" i="2"/>
  <c r="I11" i="2"/>
  <c r="L11" i="2"/>
  <c r="I10" i="2"/>
  <c r="L10" i="2"/>
  <c r="I9" i="2"/>
  <c r="L9" i="2"/>
  <c r="I8" i="2"/>
  <c r="L8" i="2"/>
  <c r="I7" i="2"/>
  <c r="L7" i="2"/>
  <c r="I6" i="2"/>
  <c r="L6" i="2"/>
  <c r="I5" i="2"/>
  <c r="L5" i="2"/>
  <c r="G49" i="2"/>
  <c r="I5" i="3"/>
  <c r="I15" i="3" s="1"/>
  <c r="I49" i="2" l="1"/>
  <c r="H48" i="2"/>
  <c r="J48" i="2" s="1"/>
  <c r="K48" i="2" s="1"/>
  <c r="H17" i="2"/>
  <c r="J17" i="2" s="1"/>
  <c r="K17" i="2" s="1"/>
  <c r="H27" i="2"/>
  <c r="J27" i="2" s="1"/>
  <c r="K27" i="2" s="1"/>
  <c r="H5" i="2"/>
  <c r="J5" i="2" s="1"/>
  <c r="K5" i="2" s="1"/>
  <c r="K49" i="2" s="1"/>
  <c r="H47" i="2"/>
  <c r="J47" i="2" s="1"/>
  <c r="K47" i="2" s="1"/>
  <c r="H46" i="2"/>
  <c r="J46" i="2" s="1"/>
  <c r="K46" i="2" s="1"/>
  <c r="H45" i="2"/>
  <c r="J45" i="2" s="1"/>
  <c r="K45" i="2" s="1"/>
  <c r="H33" i="2"/>
  <c r="J33" i="2" s="1"/>
  <c r="K33" i="2" s="1"/>
  <c r="H31" i="2"/>
  <c r="J31" i="2" s="1"/>
  <c r="K31" i="2" s="1"/>
  <c r="H30" i="2"/>
  <c r="J30" i="2" s="1"/>
  <c r="K30" i="2" s="1"/>
  <c r="H14" i="2"/>
  <c r="J14" i="2" s="1"/>
  <c r="K14" i="2" s="1"/>
  <c r="H11" i="2"/>
  <c r="J11" i="2" s="1"/>
  <c r="K11" i="2" s="1"/>
  <c r="H35" i="2"/>
  <c r="J35" i="2" s="1"/>
  <c r="K35" i="2" s="1"/>
  <c r="H22" i="2"/>
  <c r="J22" i="2" s="1"/>
  <c r="K22" i="2" s="1"/>
  <c r="H21" i="2"/>
  <c r="J21" i="2" s="1"/>
  <c r="K21" i="2" s="1"/>
  <c r="H16" i="2"/>
  <c r="J16" i="2" s="1"/>
  <c r="K16" i="2" s="1"/>
  <c r="H15" i="2"/>
  <c r="J15" i="2" s="1"/>
  <c r="K15" i="2" s="1"/>
  <c r="H13" i="2"/>
  <c r="J13" i="2" s="1"/>
  <c r="K13" i="2" s="1"/>
  <c r="H12" i="2"/>
  <c r="J12" i="2" s="1"/>
  <c r="K12" i="2" s="1"/>
  <c r="H8" i="2"/>
  <c r="J8" i="2" s="1"/>
  <c r="K8" i="2" s="1"/>
  <c r="H7" i="2"/>
  <c r="J7" i="2" s="1"/>
  <c r="K7" i="2" s="1"/>
  <c r="H6" i="2"/>
  <c r="J6" i="2" s="1"/>
  <c r="K6" i="2" s="1"/>
  <c r="H25" i="2"/>
  <c r="J25" i="2" s="1"/>
  <c r="K25" i="2" s="1"/>
  <c r="H23" i="2"/>
  <c r="J23" i="2" s="1"/>
  <c r="K23" i="2" s="1"/>
  <c r="H19" i="2"/>
  <c r="J19" i="2" s="1"/>
  <c r="K19" i="2" s="1"/>
  <c r="H18" i="2"/>
  <c r="J18" i="2" s="1"/>
  <c r="K18" i="2" s="1"/>
  <c r="H10" i="2"/>
  <c r="J10" i="2" s="1"/>
  <c r="K10" i="2" s="1"/>
  <c r="H9" i="2"/>
  <c r="J9" i="2" s="1"/>
  <c r="K9" i="2" s="1"/>
  <c r="H44" i="2"/>
  <c r="J44" i="2" s="1"/>
  <c r="K44" i="2" s="1"/>
  <c r="H43" i="2"/>
  <c r="J43" i="2" s="1"/>
  <c r="K43" i="2" s="1"/>
  <c r="H42" i="2"/>
  <c r="J42" i="2" s="1"/>
  <c r="K42" i="2" s="1"/>
  <c r="H41" i="2"/>
  <c r="J41" i="2" s="1"/>
  <c r="K41" i="2" s="1"/>
  <c r="H40" i="2"/>
  <c r="J40" i="2" s="1"/>
  <c r="K40" i="2" s="1"/>
  <c r="H39" i="2"/>
  <c r="J39" i="2" s="1"/>
  <c r="K39" i="2" s="1"/>
  <c r="H38" i="2"/>
  <c r="J38" i="2" s="1"/>
  <c r="K38" i="2" s="1"/>
  <c r="H37" i="2"/>
  <c r="J37" i="2" s="1"/>
  <c r="K37" i="2" s="1"/>
  <c r="H36" i="2"/>
  <c r="J36" i="2" s="1"/>
  <c r="K36" i="2" s="1"/>
  <c r="H34" i="2"/>
  <c r="J34" i="2" s="1"/>
  <c r="K34" i="2" s="1"/>
  <c r="H32" i="2"/>
  <c r="J32" i="2" s="1"/>
  <c r="K32" i="2" s="1"/>
  <c r="H29" i="2"/>
  <c r="J29" i="2" s="1"/>
  <c r="K29" i="2" s="1"/>
  <c r="H24" i="2"/>
  <c r="J24" i="2" s="1"/>
  <c r="K24" i="2" s="1"/>
  <c r="H20" i="2"/>
  <c r="J20" i="2" s="1"/>
  <c r="K20" i="2" s="1"/>
  <c r="H28" i="2"/>
  <c r="J28" i="2" s="1"/>
  <c r="K28" i="2" s="1"/>
  <c r="K26" i="2"/>
  <c r="J4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6" authorId="0" shapeId="0" xr:uid="{00000000-0006-0000-0100-000002000000}">
      <text>
        <r>
          <rPr>
            <sz val="10"/>
            <rFont val="Arial"/>
            <family val="2"/>
          </rPr>
          <t>Le rapport Celtiis écrit pvt_rgz_amarcel.ftth ; le fichier d'objectifs écrit pvt_rgz_amarcel. Login à harmoniser.</t>
        </r>
      </text>
    </comment>
    <comment ref="A48" authorId="0" shapeId="0" xr:uid="{00000000-0006-0000-0100-000001000000}">
      <text>
        <r>
          <rPr>
            <sz val="10"/>
            <rFont val="Arial"/>
            <family val="2"/>
          </rPr>
          <t>Login absent du fichier d'objectifs : équipe et objectif à préciser.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5" authorId="0" shapeId="0" xr:uid="{00000000-0006-0000-0200-000001000000}">
      <text>
        <r>
          <rPr>
            <sz val="10"/>
            <rFont val="Arial"/>
            <family val="2"/>
          </rPr>
          <t>Inclut la vente de smireille (équipe à préciser) : 45 ventes rapportées à l'objectif du jour du réseau.</t>
        </r>
      </text>
    </comment>
  </commentList>
</comments>
</file>

<file path=xl/sharedStrings.xml><?xml version="1.0" encoding="utf-8"?>
<sst xmlns="http://schemas.openxmlformats.org/spreadsheetml/2006/main" count="168" uniqueCount="120">
  <si>
    <t>Point du jour : lundi 12 octobre 2026</t>
  </si>
  <si>
    <t>Cellules jaunes modifiables. Les autres onglets se recalculent.</t>
  </si>
  <si>
    <t>Date du point</t>
  </si>
  <si>
    <t>12/10/2026</t>
  </si>
  <si>
    <t>Jours ouvrés en octobre</t>
  </si>
  <si>
    <t>Lundi à vendredi, comme dans le plan de motivation. Le fichier objectifs_octobre_2026.xlsx divise par 20.</t>
  </si>
  <si>
    <t>Prime journée réussie (agent)</t>
  </si>
  <si>
    <t>Prime champion du jour</t>
  </si>
  <si>
    <t>Prime journée équipe réussie (superviseur)</t>
  </si>
  <si>
    <t>Sources</t>
  </si>
  <si>
    <t>Objectifs mensuels : objectifs_octobre_2026.xlsx, onglet OBJECTIFS TRACKING (1 487 ventes).</t>
  </si>
  <si>
    <t>Ventes du 12/10 : point par login transmis par GZ (capture « Total RGZ » = 45 ventes, sans détail B2C/B2B).</t>
  </si>
  <si>
    <t>Agents : performance du 12 octobre</t>
  </si>
  <si>
    <t>Saisir uniquement la colonne « Ventes du jour » (jaune). Objectif du jour = objectif du mois / jours ouvrés.</t>
  </si>
  <si>
    <t>Équipe</t>
  </si>
  <si>
    <t>Login</t>
  </si>
  <si>
    <t>Obj. du mois</t>
  </si>
  <si>
    <t>Obj. du jour</t>
  </si>
  <si>
    <t>Ventes du jour</t>
  </si>
  <si>
    <t>Réalisation</t>
  </si>
  <si>
    <t>Objectif du jour atteint</t>
  </si>
  <si>
    <t>Champion du jour</t>
  </si>
  <si>
    <t>Prime journée (FCFA)</t>
  </si>
  <si>
    <t>Prime champion (FCFA)</t>
  </si>
  <si>
    <t>Total primes du jour (FCFA)</t>
  </si>
  <si>
    <t>score</t>
  </si>
  <si>
    <t>YANKEE</t>
  </si>
  <si>
    <t>pms_rgz_tosee.ftth</t>
  </si>
  <si>
    <t>pvt_rgz_mfrancois.ftth</t>
  </si>
  <si>
    <t>pvt_rgz_fadji.ftth</t>
  </si>
  <si>
    <t>pvt_rgz_dcharmelie.ftth</t>
  </si>
  <si>
    <t>pvt_rgz_gkohla.ftth</t>
  </si>
  <si>
    <t>pvt_rgz_rclotoe.ftth</t>
  </si>
  <si>
    <t>pvt_rgz_aconstant.ftth</t>
  </si>
  <si>
    <t>pvt_rgz_cmessinou.ftth</t>
  </si>
  <si>
    <t>pvt_rgz_lsenakpon.ftth</t>
  </si>
  <si>
    <t>pvt_rgz_tletitia.ftth</t>
  </si>
  <si>
    <t>pvt_rgz_dalexis.ftth</t>
  </si>
  <si>
    <t>pvt_rgz_eulisse.ftth</t>
  </si>
  <si>
    <t>pvt_rgz_hgilles.ftth</t>
  </si>
  <si>
    <t>ALPHA</t>
  </si>
  <si>
    <t>pms_rgz_tgloria.ftth</t>
  </si>
  <si>
    <t>pms_rgz_dconstant.ftth</t>
  </si>
  <si>
    <t>pvt_rgz_bboris.ftth</t>
  </si>
  <si>
    <t>TANGO</t>
  </si>
  <si>
    <t>pvt_rgz_dthibaut.ftth</t>
  </si>
  <si>
    <t>pms_rgz_hfrancine.ftth</t>
  </si>
  <si>
    <t>pvt_rgz_wdiane.ftth</t>
  </si>
  <si>
    <t>pvt_rgz_gsahoui.ftth</t>
  </si>
  <si>
    <t>ZULU</t>
  </si>
  <si>
    <t>pvt-rgz-olouis.ftth</t>
  </si>
  <si>
    <t>pvt_rgz_ahugues.ftth</t>
  </si>
  <si>
    <t>pvt_rgz_adidier.ftth</t>
  </si>
  <si>
    <t>CHARLIE</t>
  </si>
  <si>
    <t>pms_rgz_wmarius.ftth</t>
  </si>
  <si>
    <t>pvt_rgz_tsylvia.ftth</t>
  </si>
  <si>
    <t>MIKE</t>
  </si>
  <si>
    <t>pvt_rgz_oalain.ftth</t>
  </si>
  <si>
    <t>pvt_rgz_sulrich.ftth</t>
  </si>
  <si>
    <t>pvt_rgz_hderrick.ftth</t>
  </si>
  <si>
    <t>pms_rgz_kromeo.ftth</t>
  </si>
  <si>
    <t>ANONYMAT</t>
  </si>
  <si>
    <t>pvt_rgz_gprince.ftth</t>
  </si>
  <si>
    <t>pvt_rgz_akoffi.ftth</t>
  </si>
  <si>
    <t>pvt_rgz_agado.ftth</t>
  </si>
  <si>
    <t>pvt_rgz_lcedric.ftth</t>
  </si>
  <si>
    <t>CONCORDE</t>
  </si>
  <si>
    <t>pvt_rgz_kbernadin.ftth</t>
  </si>
  <si>
    <t>pms_rgz_cmerveille.ftth</t>
  </si>
  <si>
    <t>pvt_rgz_kadebayo.ftth</t>
  </si>
  <si>
    <t>pms_rgz_abijou.ftth</t>
  </si>
  <si>
    <t>pms_rgz_svictor.ftth</t>
  </si>
  <si>
    <t>BRAVO</t>
  </si>
  <si>
    <t>pvt_rgz_afaoziath.ftth</t>
  </si>
  <si>
    <t>pvt_rgz_lgrace.ftth</t>
  </si>
  <si>
    <t>OMEGA</t>
  </si>
  <si>
    <t>pvt_rgz_mvenceslas</t>
  </si>
  <si>
    <t>pvt_rgz_amarcel</t>
  </si>
  <si>
    <t>pvt_rgz_ojeovani.ftth</t>
  </si>
  <si>
    <t>À préciser</t>
  </si>
  <si>
    <t>pvt_rgz_smireille.ftth</t>
  </si>
  <si>
    <t>TOTAL</t>
  </si>
  <si>
    <t>Réalisation du total : ventes des agents ayant un objectif / somme des objectifs du jour (la vente de smireille est exclue).</t>
  </si>
  <si>
    <t>Équipes : performance du 12 octobre</t>
  </si>
  <si>
    <t>Une journée équipe est réussie quand les ventes de l'équipe atteignent son objectif du jour.</t>
  </si>
  <si>
    <t>Journée équipe réussie</t>
  </si>
  <si>
    <t>Agents avec objectif</t>
  </si>
  <si>
    <t>Agents ayant vendu</t>
  </si>
  <si>
    <t>Agents à objectif atteint</t>
  </si>
  <si>
    <t>Prime superviseur (FCFA)</t>
  </si>
  <si>
    <t>RÉSEAU</t>
  </si>
  <si>
    <t>Points d'attention du 12 octobre</t>
  </si>
  <si>
    <t>Constats et actions proposées.</t>
  </si>
  <si>
    <t>Sujet</t>
  </si>
  <si>
    <t>Constat</t>
  </si>
  <si>
    <t>Action proposée</t>
  </si>
  <si>
    <t>Équipes à zéro</t>
  </si>
  <si>
    <t>CHARLIE, MIKE et BRAVO n'ont aucune vente un lundi. BRAVO porte 40 des 240 ventes B2B du mois.</t>
  </si>
  <si>
    <t>Appeler les trois superviseurs en priorité.</t>
  </si>
  <si>
    <t>Journées à 9 ventes</t>
  </si>
  <si>
    <t>aconstant (objectif 25 sur le mois) et akoffi ont fait 9 ventes chacun. Pour aconstant, c'est plus du tiers de l'objectif mensuel en une journée.</t>
  </si>
  <si>
    <t>Vérifier qu'il s'agit de ventes du jour et non d'activations accumulées validées d'un coup, avant d'annoncer le champion.</t>
  </si>
  <si>
    <t>Login inconnu</t>
  </si>
  <si>
    <t>pvt_rgz_smireille.ftth a 1 vente mais n'a ni équipe ni objectif.</t>
  </si>
  <si>
    <t>Préciser son équipe. Sans objectif, il est suivi mais n'a pas droit aux primes.</t>
  </si>
  <si>
    <t>Écart de logins</t>
  </si>
  <si>
    <t>Le rapport Celtiis écrit pvt_rgz_amarcel.ftth, le fichier d'objectifs pvt_rgz_amarcel. pvt_rgz_mvenceslas est probablement dans le même cas.</t>
  </si>
  <si>
    <t>Harmoniser les logins, sinon le rapprochement dans Power BI échouera.</t>
  </si>
  <si>
    <t>Détail B2C/B2B</t>
  </si>
  <si>
    <t>Le point du jour ne donne que le total des ventes.</t>
  </si>
  <si>
    <t>Demander la répartition B2C/B2B pour suivre le bonus B2B.</t>
  </si>
  <si>
    <t>Objectif du jour</t>
  </si>
  <si>
    <t>Calculé sur 22 jours ouvrés (lundi à vendredi). Le fichier d'objectifs divise par 20, ce qui donne des objectifs journaliers plus élevés.</t>
  </si>
  <si>
    <t>Garder une seule convention pour tout le mois.</t>
  </si>
  <si>
    <t>Message pour le groupe WhatsApp</t>
  </si>
  <si>
    <t>Texte prêt à copier (rédigé à partir des chiffres du 12 octobre).</t>
  </si>
  <si>
    <t>Point du lundi 12 octobre : 45 ventes, 67 % de l'objectif du jour.</t>
  </si>
  <si>
    <t>Champion du jour : aconstant (YANKEE), 9 ventes. Bravo aussi à akoffi, cmessinou, gprince, mfrancois, bboris et ahugues, qui ont tous tenu leur objectif.</t>
  </si>
  <si>
    <t>Équipes au-dessus de l'objectif : ANONYMAT (189 %) et YANKEE (123 %).</t>
  </si>
  <si>
    <t>CHARLIE, MIKE et BRAVO, on vous attend demain.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</si>
</sst>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0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color rgb="FF595959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8"/>
      <color rgb="FFA6A6A6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7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5B7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5B7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/>
  </sheetViews>
  <sheetFormatPr defaultColWidth="8.6640625" defaultRowHeight="14.25" x14ac:dyDescent="0.45"/>
  <cols>
    <col min="1" max="1" width="44" customWidth="1"/>
    <col min="2" max="2" width="14" customWidth="1"/>
    <col min="3" max="3" width="80" customWidth="1"/>
  </cols>
  <sheetData>
    <row r="1" spans="1:3" ht="17.649999999999999" x14ac:dyDescent="0.5">
      <c r="A1" s="1" t="s">
        <v>0</v>
      </c>
    </row>
    <row r="2" spans="1:3" x14ac:dyDescent="0.45">
      <c r="A2" s="2" t="s">
        <v>1</v>
      </c>
    </row>
    <row r="4" spans="1:3" x14ac:dyDescent="0.45">
      <c r="A4" t="s">
        <v>2</v>
      </c>
      <c r="B4" s="3" t="s">
        <v>3</v>
      </c>
    </row>
    <row r="5" spans="1:3" x14ac:dyDescent="0.45">
      <c r="A5" t="s">
        <v>4</v>
      </c>
      <c r="B5" s="3">
        <v>22</v>
      </c>
      <c r="C5" s="2" t="s">
        <v>5</v>
      </c>
    </row>
    <row r="6" spans="1:3" x14ac:dyDescent="0.45">
      <c r="A6" t="s">
        <v>6</v>
      </c>
      <c r="B6" s="4">
        <v>200</v>
      </c>
    </row>
    <row r="7" spans="1:3" x14ac:dyDescent="0.45">
      <c r="A7" t="s">
        <v>7</v>
      </c>
      <c r="B7" s="4">
        <v>1000</v>
      </c>
    </row>
    <row r="8" spans="1:3" x14ac:dyDescent="0.45">
      <c r="A8" t="s">
        <v>8</v>
      </c>
      <c r="B8" s="4">
        <v>500</v>
      </c>
    </row>
    <row r="11" spans="1:3" x14ac:dyDescent="0.45">
      <c r="A11" s="5" t="s">
        <v>9</v>
      </c>
    </row>
    <row r="12" spans="1:3" x14ac:dyDescent="0.45">
      <c r="A12" s="2" t="s">
        <v>10</v>
      </c>
    </row>
    <row r="13" spans="1:3" x14ac:dyDescent="0.45">
      <c r="A13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11" sqref="N11"/>
    </sheetView>
  </sheetViews>
  <sheetFormatPr defaultColWidth="8.6640625" defaultRowHeight="14.25" x14ac:dyDescent="0.45"/>
  <cols>
    <col min="1" max="1" width="12" customWidth="1"/>
    <col min="2" max="2" width="26" customWidth="1"/>
    <col min="3" max="5" width="9" customWidth="1"/>
    <col min="6" max="6" width="11" customWidth="1"/>
    <col min="7" max="7" width="13" customWidth="1"/>
    <col min="8" max="10" width="12" customWidth="1"/>
    <col min="11" max="11" width="13" customWidth="1"/>
    <col min="12" max="12" width="7" customWidth="1"/>
  </cols>
  <sheetData>
    <row r="1" spans="1:12" ht="17.649999999999999" x14ac:dyDescent="0.5">
      <c r="A1" s="1" t="s">
        <v>12</v>
      </c>
    </row>
    <row r="2" spans="1:12" x14ac:dyDescent="0.45">
      <c r="A2" s="2" t="s">
        <v>13</v>
      </c>
    </row>
    <row r="4" spans="1:12" ht="31.5" customHeight="1" x14ac:dyDescent="0.4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</row>
    <row r="5" spans="1:12" x14ac:dyDescent="0.45">
      <c r="A5" s="7" t="s">
        <v>26</v>
      </c>
      <c r="B5" s="7" t="s">
        <v>27</v>
      </c>
      <c r="C5" s="8">
        <v>44</v>
      </c>
      <c r="D5" s="9">
        <f>IF(C5&gt;0,C5/Paramètres!$B$5,"")</f>
        <v>2</v>
      </c>
      <c r="E5" s="10">
        <v>0</v>
      </c>
      <c r="F5" s="11">
        <f t="shared" ref="F5:F48" si="0">IF(C5&gt;0,E5/D5,"")</f>
        <v>0</v>
      </c>
      <c r="G5" s="12" t="str">
        <f t="shared" ref="G5:G48" si="1">IF(C5&gt;0,IF(E5&gt;=D5,"Oui","Non"),"Sans objectif")</f>
        <v>Non</v>
      </c>
      <c r="H5" s="12" t="str">
        <f t="shared" ref="H5:H48" si="2">IF(AND(L5&gt;0,L5=MAX($L$5:$L$48)),"Champion","")</f>
        <v/>
      </c>
      <c r="I5" s="13">
        <f>IF(G5="Oui",Paramètres!$B$6,0)</f>
        <v>0</v>
      </c>
      <c r="J5" s="13">
        <f>IF(H5="Champion",Paramètres!$B$7,0)</f>
        <v>0</v>
      </c>
      <c r="K5" s="13">
        <f t="shared" ref="K5:K48" si="3">I5+J5</f>
        <v>0</v>
      </c>
      <c r="L5" s="14">
        <f t="shared" ref="L5:L48" si="4">IF(G5="Oui",F5+E5/1000+(1000-ROW())/10000000,-1)</f>
        <v>-1</v>
      </c>
    </row>
    <row r="6" spans="1:12" x14ac:dyDescent="0.45">
      <c r="A6" s="7" t="s">
        <v>26</v>
      </c>
      <c r="B6" s="7" t="s">
        <v>28</v>
      </c>
      <c r="C6" s="8">
        <v>35</v>
      </c>
      <c r="D6" s="9">
        <f>IF(C6&gt;0,C6/Paramètres!$B$5,"")</f>
        <v>1.5909090909090908</v>
      </c>
      <c r="E6" s="10">
        <v>3</v>
      </c>
      <c r="F6" s="11">
        <f t="shared" si="0"/>
        <v>1.8857142857142859</v>
      </c>
      <c r="G6" s="12" t="str">
        <f t="shared" si="1"/>
        <v>Oui</v>
      </c>
      <c r="H6" s="12" t="str">
        <f t="shared" si="2"/>
        <v/>
      </c>
      <c r="I6" s="13">
        <f>IF(G6="Oui",Paramètres!$B$6,0)</f>
        <v>200</v>
      </c>
      <c r="J6" s="13">
        <f>IF(H6="Champion",Paramètres!$B$7,0)</f>
        <v>0</v>
      </c>
      <c r="K6" s="13">
        <f t="shared" si="3"/>
        <v>200</v>
      </c>
      <c r="L6" s="14">
        <f t="shared" si="4"/>
        <v>1.8888136857142859</v>
      </c>
    </row>
    <row r="7" spans="1:12" x14ac:dyDescent="0.45">
      <c r="A7" s="7" t="s">
        <v>26</v>
      </c>
      <c r="B7" s="7" t="s">
        <v>29</v>
      </c>
      <c r="C7" s="8">
        <v>34</v>
      </c>
      <c r="D7" s="9">
        <f>IF(C7&gt;0,C7/Paramètres!$B$5,"")</f>
        <v>1.5454545454545454</v>
      </c>
      <c r="E7" s="10">
        <v>0</v>
      </c>
      <c r="F7" s="11">
        <f t="shared" si="0"/>
        <v>0</v>
      </c>
      <c r="G7" s="12" t="str">
        <f t="shared" si="1"/>
        <v>Non</v>
      </c>
      <c r="H7" s="12" t="str">
        <f t="shared" si="2"/>
        <v/>
      </c>
      <c r="I7" s="13">
        <f>IF(G7="Oui",Paramètres!$B$6,0)</f>
        <v>0</v>
      </c>
      <c r="J7" s="13">
        <f>IF(H7="Champion",Paramètres!$B$7,0)</f>
        <v>0</v>
      </c>
      <c r="K7" s="13">
        <f t="shared" si="3"/>
        <v>0</v>
      </c>
      <c r="L7" s="14">
        <f t="shared" si="4"/>
        <v>-1</v>
      </c>
    </row>
    <row r="8" spans="1:12" x14ac:dyDescent="0.45">
      <c r="A8" s="7" t="s">
        <v>26</v>
      </c>
      <c r="B8" s="7" t="s">
        <v>30</v>
      </c>
      <c r="C8" s="8">
        <v>28</v>
      </c>
      <c r="D8" s="9">
        <f>IF(C8&gt;0,C8/Paramètres!$B$5,"")</f>
        <v>1.2727272727272727</v>
      </c>
      <c r="E8" s="10">
        <v>0</v>
      </c>
      <c r="F8" s="11">
        <f t="shared" si="0"/>
        <v>0</v>
      </c>
      <c r="G8" s="12" t="str">
        <f t="shared" si="1"/>
        <v>Non</v>
      </c>
      <c r="H8" s="12" t="str">
        <f t="shared" si="2"/>
        <v/>
      </c>
      <c r="I8" s="13">
        <f>IF(G8="Oui",Paramètres!$B$6,0)</f>
        <v>0</v>
      </c>
      <c r="J8" s="13">
        <f>IF(H8="Champion",Paramètres!$B$7,0)</f>
        <v>0</v>
      </c>
      <c r="K8" s="13">
        <f t="shared" si="3"/>
        <v>0</v>
      </c>
      <c r="L8" s="14">
        <f t="shared" si="4"/>
        <v>-1</v>
      </c>
    </row>
    <row r="9" spans="1:12" x14ac:dyDescent="0.45">
      <c r="A9" s="7" t="s">
        <v>26</v>
      </c>
      <c r="B9" s="7" t="s">
        <v>31</v>
      </c>
      <c r="C9" s="8">
        <v>36</v>
      </c>
      <c r="D9" s="9">
        <f>IF(C9&gt;0,C9/Paramètres!$B$5,"")</f>
        <v>1.6363636363636365</v>
      </c>
      <c r="E9" s="10">
        <v>1</v>
      </c>
      <c r="F9" s="11">
        <f t="shared" si="0"/>
        <v>0.61111111111111105</v>
      </c>
      <c r="G9" s="12" t="str">
        <f t="shared" si="1"/>
        <v>Non</v>
      </c>
      <c r="H9" s="12" t="str">
        <f t="shared" si="2"/>
        <v/>
      </c>
      <c r="I9" s="13">
        <f>IF(G9="Oui",Paramètres!$B$6,0)</f>
        <v>0</v>
      </c>
      <c r="J9" s="13">
        <f>IF(H9="Champion",Paramètres!$B$7,0)</f>
        <v>0</v>
      </c>
      <c r="K9" s="13">
        <f t="shared" si="3"/>
        <v>0</v>
      </c>
      <c r="L9" s="14">
        <f t="shared" si="4"/>
        <v>-1</v>
      </c>
    </row>
    <row r="10" spans="1:12" x14ac:dyDescent="0.45">
      <c r="A10" s="7" t="s">
        <v>26</v>
      </c>
      <c r="B10" s="7" t="s">
        <v>32</v>
      </c>
      <c r="C10" s="8">
        <v>30</v>
      </c>
      <c r="D10" s="9">
        <f>IF(C10&gt;0,C10/Paramètres!$B$5,"")</f>
        <v>1.3636363636363635</v>
      </c>
      <c r="E10" s="10">
        <v>1</v>
      </c>
      <c r="F10" s="11">
        <f t="shared" si="0"/>
        <v>0.73333333333333339</v>
      </c>
      <c r="G10" s="12" t="str">
        <f t="shared" si="1"/>
        <v>Non</v>
      </c>
      <c r="H10" s="12" t="str">
        <f t="shared" si="2"/>
        <v/>
      </c>
      <c r="I10" s="13">
        <f>IF(G10="Oui",Paramètres!$B$6,0)</f>
        <v>0</v>
      </c>
      <c r="J10" s="13">
        <f>IF(H10="Champion",Paramètres!$B$7,0)</f>
        <v>0</v>
      </c>
      <c r="K10" s="13">
        <f t="shared" si="3"/>
        <v>0</v>
      </c>
      <c r="L10" s="14">
        <f t="shared" si="4"/>
        <v>-1</v>
      </c>
    </row>
    <row r="11" spans="1:12" x14ac:dyDescent="0.45">
      <c r="A11" s="7" t="s">
        <v>26</v>
      </c>
      <c r="B11" s="7" t="s">
        <v>33</v>
      </c>
      <c r="C11" s="8">
        <v>25</v>
      </c>
      <c r="D11" s="9">
        <f>IF(C11&gt;0,C11/Paramètres!$B$5,"")</f>
        <v>1.1363636363636365</v>
      </c>
      <c r="E11" s="10">
        <v>9</v>
      </c>
      <c r="F11" s="11">
        <f t="shared" si="0"/>
        <v>7.919999999999999</v>
      </c>
      <c r="G11" s="12" t="str">
        <f t="shared" si="1"/>
        <v>Oui</v>
      </c>
      <c r="H11" s="12" t="str">
        <f t="shared" si="2"/>
        <v>Champion</v>
      </c>
      <c r="I11" s="13">
        <f>IF(G11="Oui",Paramètres!$B$6,0)</f>
        <v>200</v>
      </c>
      <c r="J11" s="13">
        <f>IF(H11="Champion",Paramètres!$B$7,0)</f>
        <v>1000</v>
      </c>
      <c r="K11" s="13">
        <f t="shared" si="3"/>
        <v>1200</v>
      </c>
      <c r="L11" s="14">
        <f t="shared" si="4"/>
        <v>7.9290988999999996</v>
      </c>
    </row>
    <row r="12" spans="1:12" x14ac:dyDescent="0.45">
      <c r="A12" s="7" t="s">
        <v>26</v>
      </c>
      <c r="B12" s="7" t="s">
        <v>34</v>
      </c>
      <c r="C12" s="8">
        <v>23</v>
      </c>
      <c r="D12" s="9">
        <f>IF(C12&gt;0,C12/Paramètres!$B$5,"")</f>
        <v>1.0454545454545454</v>
      </c>
      <c r="E12" s="10">
        <v>4</v>
      </c>
      <c r="F12" s="11">
        <f t="shared" si="0"/>
        <v>3.8260869565217392</v>
      </c>
      <c r="G12" s="12" t="str">
        <f t="shared" si="1"/>
        <v>Oui</v>
      </c>
      <c r="H12" s="12" t="str">
        <f t="shared" si="2"/>
        <v/>
      </c>
      <c r="I12" s="13">
        <f>IF(G12="Oui",Paramètres!$B$6,0)</f>
        <v>200</v>
      </c>
      <c r="J12" s="13">
        <f>IF(H12="Champion",Paramètres!$B$7,0)</f>
        <v>0</v>
      </c>
      <c r="K12" s="13">
        <f t="shared" si="3"/>
        <v>200</v>
      </c>
      <c r="L12" s="14">
        <f t="shared" si="4"/>
        <v>3.8301857565217392</v>
      </c>
    </row>
    <row r="13" spans="1:12" x14ac:dyDescent="0.45">
      <c r="A13" s="7" t="s">
        <v>26</v>
      </c>
      <c r="B13" s="7" t="s">
        <v>35</v>
      </c>
      <c r="C13" s="8">
        <v>40</v>
      </c>
      <c r="D13" s="9">
        <f>IF(C13&gt;0,C13/Paramètres!$B$5,"")</f>
        <v>1.8181818181818181</v>
      </c>
      <c r="E13" s="10">
        <v>1</v>
      </c>
      <c r="F13" s="11">
        <f t="shared" si="0"/>
        <v>0.55000000000000004</v>
      </c>
      <c r="G13" s="12" t="str">
        <f t="shared" si="1"/>
        <v>Non</v>
      </c>
      <c r="H13" s="12" t="str">
        <f t="shared" si="2"/>
        <v/>
      </c>
      <c r="I13" s="13">
        <f>IF(G13="Oui",Paramètres!$B$6,0)</f>
        <v>0</v>
      </c>
      <c r="J13" s="13">
        <f>IF(H13="Champion",Paramètres!$B$7,0)</f>
        <v>0</v>
      </c>
      <c r="K13" s="13">
        <f t="shared" si="3"/>
        <v>0</v>
      </c>
      <c r="L13" s="14">
        <f t="shared" si="4"/>
        <v>-1</v>
      </c>
    </row>
    <row r="14" spans="1:12" x14ac:dyDescent="0.45">
      <c r="A14" s="7" t="s">
        <v>26</v>
      </c>
      <c r="B14" s="7" t="s">
        <v>36</v>
      </c>
      <c r="C14" s="8">
        <v>20</v>
      </c>
      <c r="D14" s="9">
        <f>IF(C14&gt;0,C14/Paramètres!$B$5,"")</f>
        <v>0.90909090909090906</v>
      </c>
      <c r="E14" s="10">
        <v>0</v>
      </c>
      <c r="F14" s="11">
        <f t="shared" si="0"/>
        <v>0</v>
      </c>
      <c r="G14" s="12" t="str">
        <f t="shared" si="1"/>
        <v>Non</v>
      </c>
      <c r="H14" s="12" t="str">
        <f t="shared" si="2"/>
        <v/>
      </c>
      <c r="I14" s="13">
        <f>IF(G14="Oui",Paramètres!$B$6,0)</f>
        <v>0</v>
      </c>
      <c r="J14" s="13">
        <f>IF(H14="Champion",Paramètres!$B$7,0)</f>
        <v>0</v>
      </c>
      <c r="K14" s="13">
        <f t="shared" si="3"/>
        <v>0</v>
      </c>
      <c r="L14" s="14">
        <f t="shared" si="4"/>
        <v>-1</v>
      </c>
    </row>
    <row r="15" spans="1:12" x14ac:dyDescent="0.45">
      <c r="A15" s="7" t="s">
        <v>26</v>
      </c>
      <c r="B15" s="7" t="s">
        <v>37</v>
      </c>
      <c r="C15" s="8">
        <v>15</v>
      </c>
      <c r="D15" s="9">
        <f>IF(C15&gt;0,C15/Paramètres!$B$5,"")</f>
        <v>0.68181818181818177</v>
      </c>
      <c r="E15" s="10">
        <v>0</v>
      </c>
      <c r="F15" s="11">
        <f t="shared" si="0"/>
        <v>0</v>
      </c>
      <c r="G15" s="12" t="str">
        <f t="shared" si="1"/>
        <v>Non</v>
      </c>
      <c r="H15" s="12" t="str">
        <f t="shared" si="2"/>
        <v/>
      </c>
      <c r="I15" s="13">
        <f>IF(G15="Oui",Paramètres!$B$6,0)</f>
        <v>0</v>
      </c>
      <c r="J15" s="13">
        <f>IF(H15="Champion",Paramètres!$B$7,0)</f>
        <v>0</v>
      </c>
      <c r="K15" s="13">
        <f t="shared" si="3"/>
        <v>0</v>
      </c>
      <c r="L15" s="14">
        <f t="shared" si="4"/>
        <v>-1</v>
      </c>
    </row>
    <row r="16" spans="1:12" x14ac:dyDescent="0.45">
      <c r="A16" s="7" t="s">
        <v>26</v>
      </c>
      <c r="B16" s="7" t="s">
        <v>38</v>
      </c>
      <c r="C16" s="8">
        <v>10</v>
      </c>
      <c r="D16" s="9">
        <f>IF(C16&gt;0,C16/Paramètres!$B$5,"")</f>
        <v>0.45454545454545453</v>
      </c>
      <c r="E16" s="10">
        <v>0</v>
      </c>
      <c r="F16" s="11">
        <f t="shared" si="0"/>
        <v>0</v>
      </c>
      <c r="G16" s="12" t="str">
        <f t="shared" si="1"/>
        <v>Non</v>
      </c>
      <c r="H16" s="12" t="str">
        <f t="shared" si="2"/>
        <v/>
      </c>
      <c r="I16" s="13">
        <f>IF(G16="Oui",Paramètres!$B$6,0)</f>
        <v>0</v>
      </c>
      <c r="J16" s="13">
        <f>IF(H16="Champion",Paramètres!$B$7,0)</f>
        <v>0</v>
      </c>
      <c r="K16" s="13">
        <f t="shared" si="3"/>
        <v>0</v>
      </c>
      <c r="L16" s="14">
        <f t="shared" si="4"/>
        <v>-1</v>
      </c>
    </row>
    <row r="17" spans="1:12" x14ac:dyDescent="0.45">
      <c r="A17" s="7" t="s">
        <v>26</v>
      </c>
      <c r="B17" s="7" t="s">
        <v>39</v>
      </c>
      <c r="C17" s="8"/>
      <c r="D17" s="9" t="str">
        <f>IF(C17&gt;0,C17/Paramètres!$B$5,"")</f>
        <v/>
      </c>
      <c r="E17" s="10">
        <v>0</v>
      </c>
      <c r="F17" s="11" t="str">
        <f t="shared" si="0"/>
        <v/>
      </c>
      <c r="G17" s="12" t="str">
        <f t="shared" si="1"/>
        <v>Sans objectif</v>
      </c>
      <c r="H17" s="12" t="str">
        <f t="shared" si="2"/>
        <v/>
      </c>
      <c r="I17" s="13">
        <f>IF(G17="Oui",Paramètres!$B$6,0)</f>
        <v>0</v>
      </c>
      <c r="J17" s="13">
        <f>IF(H17="Champion",Paramètres!$B$7,0)</f>
        <v>0</v>
      </c>
      <c r="K17" s="13">
        <f t="shared" si="3"/>
        <v>0</v>
      </c>
      <c r="L17" s="14">
        <f t="shared" si="4"/>
        <v>-1</v>
      </c>
    </row>
    <row r="18" spans="1:12" x14ac:dyDescent="0.45">
      <c r="A18" s="7" t="s">
        <v>40</v>
      </c>
      <c r="B18" s="7" t="s">
        <v>41</v>
      </c>
      <c r="C18" s="8">
        <v>53</v>
      </c>
      <c r="D18" s="9">
        <f>IF(C18&gt;0,C18/Paramètres!$B$5,"")</f>
        <v>2.4090909090909092</v>
      </c>
      <c r="E18" s="10">
        <v>0</v>
      </c>
      <c r="F18" s="11">
        <f t="shared" si="0"/>
        <v>0</v>
      </c>
      <c r="G18" s="12" t="str">
        <f t="shared" si="1"/>
        <v>Non</v>
      </c>
      <c r="H18" s="12" t="str">
        <f t="shared" si="2"/>
        <v/>
      </c>
      <c r="I18" s="13">
        <f>IF(G18="Oui",Paramètres!$B$6,0)</f>
        <v>0</v>
      </c>
      <c r="J18" s="13">
        <f>IF(H18="Champion",Paramètres!$B$7,0)</f>
        <v>0</v>
      </c>
      <c r="K18" s="13">
        <f t="shared" si="3"/>
        <v>0</v>
      </c>
      <c r="L18" s="14">
        <f t="shared" si="4"/>
        <v>-1</v>
      </c>
    </row>
    <row r="19" spans="1:12" x14ac:dyDescent="0.45">
      <c r="A19" s="7" t="s">
        <v>40</v>
      </c>
      <c r="B19" s="7" t="s">
        <v>42</v>
      </c>
      <c r="C19" s="8">
        <v>29</v>
      </c>
      <c r="D19" s="9">
        <f>IF(C19&gt;0,C19/Paramètres!$B$5,"")</f>
        <v>1.3181818181818181</v>
      </c>
      <c r="E19" s="10">
        <v>1</v>
      </c>
      <c r="F19" s="11">
        <f t="shared" si="0"/>
        <v>0.75862068965517249</v>
      </c>
      <c r="G19" s="12" t="str">
        <f t="shared" si="1"/>
        <v>Non</v>
      </c>
      <c r="H19" s="12" t="str">
        <f t="shared" si="2"/>
        <v/>
      </c>
      <c r="I19" s="13">
        <f>IF(G19="Oui",Paramètres!$B$6,0)</f>
        <v>0</v>
      </c>
      <c r="J19" s="13">
        <f>IF(H19="Champion",Paramètres!$B$7,0)</f>
        <v>0</v>
      </c>
      <c r="K19" s="13">
        <f t="shared" si="3"/>
        <v>0</v>
      </c>
      <c r="L19" s="14">
        <f t="shared" si="4"/>
        <v>-1</v>
      </c>
    </row>
    <row r="20" spans="1:12" x14ac:dyDescent="0.45">
      <c r="A20" s="7" t="s">
        <v>40</v>
      </c>
      <c r="B20" s="7" t="s">
        <v>43</v>
      </c>
      <c r="C20" s="8">
        <v>18</v>
      </c>
      <c r="D20" s="9">
        <f>IF(C20&gt;0,C20/Paramètres!$B$5,"")</f>
        <v>0.81818181818181823</v>
      </c>
      <c r="E20" s="10">
        <v>1</v>
      </c>
      <c r="F20" s="11">
        <f t="shared" si="0"/>
        <v>1.2222222222222221</v>
      </c>
      <c r="G20" s="12" t="str">
        <f t="shared" si="1"/>
        <v>Oui</v>
      </c>
      <c r="H20" s="12" t="str">
        <f t="shared" si="2"/>
        <v/>
      </c>
      <c r="I20" s="13">
        <f>IF(G20="Oui",Paramètres!$B$6,0)</f>
        <v>200</v>
      </c>
      <c r="J20" s="13">
        <f>IF(H20="Champion",Paramètres!$B$7,0)</f>
        <v>0</v>
      </c>
      <c r="K20" s="13">
        <f t="shared" si="3"/>
        <v>200</v>
      </c>
      <c r="L20" s="14">
        <f t="shared" si="4"/>
        <v>1.2233202222222219</v>
      </c>
    </row>
    <row r="21" spans="1:12" x14ac:dyDescent="0.45">
      <c r="A21" s="7" t="s">
        <v>44</v>
      </c>
      <c r="B21" s="7" t="s">
        <v>45</v>
      </c>
      <c r="C21" s="8">
        <v>62</v>
      </c>
      <c r="D21" s="9">
        <f>IF(C21&gt;0,C21/Paramètres!$B$5,"")</f>
        <v>2.8181818181818183</v>
      </c>
      <c r="E21" s="10">
        <v>1</v>
      </c>
      <c r="F21" s="11">
        <f t="shared" si="0"/>
        <v>0.35483870967741932</v>
      </c>
      <c r="G21" s="12" t="str">
        <f t="shared" si="1"/>
        <v>Non</v>
      </c>
      <c r="H21" s="12" t="str">
        <f t="shared" si="2"/>
        <v/>
      </c>
      <c r="I21" s="13">
        <f>IF(G21="Oui",Paramètres!$B$6,0)</f>
        <v>0</v>
      </c>
      <c r="J21" s="13">
        <f>IF(H21="Champion",Paramètres!$B$7,0)</f>
        <v>0</v>
      </c>
      <c r="K21" s="13">
        <f t="shared" si="3"/>
        <v>0</v>
      </c>
      <c r="L21" s="14">
        <f t="shared" si="4"/>
        <v>-1</v>
      </c>
    </row>
    <row r="22" spans="1:12" x14ac:dyDescent="0.45">
      <c r="A22" s="7" t="s">
        <v>44</v>
      </c>
      <c r="B22" s="7" t="s">
        <v>46</v>
      </c>
      <c r="C22" s="8">
        <v>50</v>
      </c>
      <c r="D22" s="9">
        <f>IF(C22&gt;0,C22/Paramètres!$B$5,"")</f>
        <v>2.2727272727272729</v>
      </c>
      <c r="E22" s="10">
        <v>2</v>
      </c>
      <c r="F22" s="11">
        <f t="shared" si="0"/>
        <v>0.87999999999999989</v>
      </c>
      <c r="G22" s="12" t="str">
        <f t="shared" si="1"/>
        <v>Non</v>
      </c>
      <c r="H22" s="12" t="str">
        <f t="shared" si="2"/>
        <v/>
      </c>
      <c r="I22" s="13">
        <f>IF(G22="Oui",Paramètres!$B$6,0)</f>
        <v>0</v>
      </c>
      <c r="J22" s="13">
        <f>IF(H22="Champion",Paramètres!$B$7,0)</f>
        <v>0</v>
      </c>
      <c r="K22" s="13">
        <f t="shared" si="3"/>
        <v>0</v>
      </c>
      <c r="L22" s="14">
        <f t="shared" si="4"/>
        <v>-1</v>
      </c>
    </row>
    <row r="23" spans="1:12" x14ac:dyDescent="0.45">
      <c r="A23" s="7" t="s">
        <v>44</v>
      </c>
      <c r="B23" s="7" t="s">
        <v>47</v>
      </c>
      <c r="C23" s="8">
        <v>51</v>
      </c>
      <c r="D23" s="9">
        <f>IF(C23&gt;0,C23/Paramètres!$B$5,"")</f>
        <v>2.3181818181818183</v>
      </c>
      <c r="E23" s="10">
        <v>1</v>
      </c>
      <c r="F23" s="11">
        <f t="shared" si="0"/>
        <v>0.43137254901960781</v>
      </c>
      <c r="G23" s="12" t="str">
        <f t="shared" si="1"/>
        <v>Non</v>
      </c>
      <c r="H23" s="12" t="str">
        <f t="shared" si="2"/>
        <v/>
      </c>
      <c r="I23" s="13">
        <f>IF(G23="Oui",Paramètres!$B$6,0)</f>
        <v>0</v>
      </c>
      <c r="J23" s="13">
        <f>IF(H23="Champion",Paramètres!$B$7,0)</f>
        <v>0</v>
      </c>
      <c r="K23" s="13">
        <f t="shared" si="3"/>
        <v>0</v>
      </c>
      <c r="L23" s="14">
        <f t="shared" si="4"/>
        <v>-1</v>
      </c>
    </row>
    <row r="24" spans="1:12" x14ac:dyDescent="0.45">
      <c r="A24" s="7" t="s">
        <v>44</v>
      </c>
      <c r="B24" s="7" t="s">
        <v>48</v>
      </c>
      <c r="C24" s="8">
        <v>47</v>
      </c>
      <c r="D24" s="9">
        <f>IF(C24&gt;0,C24/Paramètres!$B$5,"")</f>
        <v>2.1363636363636362</v>
      </c>
      <c r="E24" s="10">
        <v>0</v>
      </c>
      <c r="F24" s="11">
        <f t="shared" si="0"/>
        <v>0</v>
      </c>
      <c r="G24" s="12" t="str">
        <f t="shared" si="1"/>
        <v>Non</v>
      </c>
      <c r="H24" s="12" t="str">
        <f t="shared" si="2"/>
        <v/>
      </c>
      <c r="I24" s="13">
        <f>IF(G24="Oui",Paramètres!$B$6,0)</f>
        <v>0</v>
      </c>
      <c r="J24" s="13">
        <f>IF(H24="Champion",Paramètres!$B$7,0)</f>
        <v>0</v>
      </c>
      <c r="K24" s="13">
        <f t="shared" si="3"/>
        <v>0</v>
      </c>
      <c r="L24" s="14">
        <f t="shared" si="4"/>
        <v>-1</v>
      </c>
    </row>
    <row r="25" spans="1:12" x14ac:dyDescent="0.45">
      <c r="A25" s="7" t="s">
        <v>49</v>
      </c>
      <c r="B25" s="7" t="s">
        <v>50</v>
      </c>
      <c r="C25" s="8">
        <v>60</v>
      </c>
      <c r="D25" s="9">
        <f>IF(C25&gt;0,C25/Paramètres!$B$5,"")</f>
        <v>2.7272727272727271</v>
      </c>
      <c r="E25" s="10">
        <v>0</v>
      </c>
      <c r="F25" s="11">
        <f t="shared" si="0"/>
        <v>0</v>
      </c>
      <c r="G25" s="12" t="str">
        <f t="shared" si="1"/>
        <v>Non</v>
      </c>
      <c r="H25" s="12" t="str">
        <f t="shared" si="2"/>
        <v/>
      </c>
      <c r="I25" s="13">
        <f>IF(G25="Oui",Paramètres!$B$6,0)</f>
        <v>0</v>
      </c>
      <c r="J25" s="13">
        <f>IF(H25="Champion",Paramètres!$B$7,0)</f>
        <v>0</v>
      </c>
      <c r="K25" s="13">
        <f t="shared" si="3"/>
        <v>0</v>
      </c>
      <c r="L25" s="14">
        <f t="shared" si="4"/>
        <v>-1</v>
      </c>
    </row>
    <row r="26" spans="1:12" x14ac:dyDescent="0.45">
      <c r="A26" s="7" t="s">
        <v>49</v>
      </c>
      <c r="B26" s="7" t="s">
        <v>51</v>
      </c>
      <c r="C26" s="8">
        <v>60</v>
      </c>
      <c r="D26" s="9">
        <f>IF(C26&gt;0,C26/Paramètres!$B$5,"")</f>
        <v>2.7272727272727271</v>
      </c>
      <c r="E26" s="10">
        <v>3</v>
      </c>
      <c r="F26" s="11">
        <f t="shared" si="0"/>
        <v>1.1000000000000001</v>
      </c>
      <c r="G26" s="12" t="str">
        <f t="shared" si="1"/>
        <v>Oui</v>
      </c>
      <c r="H26" s="12" t="str">
        <f t="shared" si="2"/>
        <v/>
      </c>
      <c r="I26" s="13">
        <f>IF(G26="Oui",Paramètres!$B$6,0)</f>
        <v>200</v>
      </c>
      <c r="J26" s="13">
        <f>IF(H26="Champion",Paramètres!$B$7,0)</f>
        <v>0</v>
      </c>
      <c r="K26" s="13">
        <f t="shared" si="3"/>
        <v>200</v>
      </c>
      <c r="L26" s="14">
        <f t="shared" si="4"/>
        <v>1.1030974</v>
      </c>
    </row>
    <row r="27" spans="1:12" x14ac:dyDescent="0.45">
      <c r="A27" s="7" t="s">
        <v>49</v>
      </c>
      <c r="B27" s="7" t="s">
        <v>52</v>
      </c>
      <c r="C27" s="8"/>
      <c r="D27" s="9" t="str">
        <f>IF(C27&gt;0,C27/Paramètres!$B$5,"")</f>
        <v/>
      </c>
      <c r="E27" s="10">
        <v>0</v>
      </c>
      <c r="F27" s="11" t="str">
        <f t="shared" si="0"/>
        <v/>
      </c>
      <c r="G27" s="12" t="str">
        <f t="shared" si="1"/>
        <v>Sans objectif</v>
      </c>
      <c r="H27" s="12" t="str">
        <f t="shared" si="2"/>
        <v/>
      </c>
      <c r="I27" s="13">
        <f>IF(G27="Oui",Paramètres!$B$6,0)</f>
        <v>0</v>
      </c>
      <c r="J27" s="13">
        <f>IF(H27="Champion",Paramètres!$B$7,0)</f>
        <v>0</v>
      </c>
      <c r="K27" s="13">
        <f t="shared" si="3"/>
        <v>0</v>
      </c>
      <c r="L27" s="14">
        <f t="shared" si="4"/>
        <v>-1</v>
      </c>
    </row>
    <row r="28" spans="1:12" x14ac:dyDescent="0.45">
      <c r="A28" s="7" t="s">
        <v>53</v>
      </c>
      <c r="B28" s="7" t="s">
        <v>54</v>
      </c>
      <c r="C28" s="8">
        <v>45</v>
      </c>
      <c r="D28" s="9">
        <f>IF(C28&gt;0,C28/Paramètres!$B$5,"")</f>
        <v>2.0454545454545454</v>
      </c>
      <c r="E28" s="10">
        <v>0</v>
      </c>
      <c r="F28" s="11">
        <f t="shared" si="0"/>
        <v>0</v>
      </c>
      <c r="G28" s="12" t="str">
        <f t="shared" si="1"/>
        <v>Non</v>
      </c>
      <c r="H28" s="12" t="str">
        <f t="shared" si="2"/>
        <v/>
      </c>
      <c r="I28" s="13">
        <f>IF(G28="Oui",Paramètres!$B$6,0)</f>
        <v>0</v>
      </c>
      <c r="J28" s="13">
        <f>IF(H28="Champion",Paramètres!$B$7,0)</f>
        <v>0</v>
      </c>
      <c r="K28" s="13">
        <f t="shared" si="3"/>
        <v>0</v>
      </c>
      <c r="L28" s="14">
        <f t="shared" si="4"/>
        <v>-1</v>
      </c>
    </row>
    <row r="29" spans="1:12" x14ac:dyDescent="0.45">
      <c r="A29" s="7" t="s">
        <v>53</v>
      </c>
      <c r="B29" s="7" t="s">
        <v>55</v>
      </c>
      <c r="C29" s="8">
        <v>35</v>
      </c>
      <c r="D29" s="9">
        <f>IF(C29&gt;0,C29/Paramètres!$B$5,"")</f>
        <v>1.5909090909090908</v>
      </c>
      <c r="E29" s="10">
        <v>0</v>
      </c>
      <c r="F29" s="11">
        <f t="shared" si="0"/>
        <v>0</v>
      </c>
      <c r="G29" s="12" t="str">
        <f t="shared" si="1"/>
        <v>Non</v>
      </c>
      <c r="H29" s="12" t="str">
        <f t="shared" si="2"/>
        <v/>
      </c>
      <c r="I29" s="13">
        <f>IF(G29="Oui",Paramètres!$B$6,0)</f>
        <v>0</v>
      </c>
      <c r="J29" s="13">
        <f>IF(H29="Champion",Paramètres!$B$7,0)</f>
        <v>0</v>
      </c>
      <c r="K29" s="13">
        <f t="shared" si="3"/>
        <v>0</v>
      </c>
      <c r="L29" s="14">
        <f t="shared" si="4"/>
        <v>-1</v>
      </c>
    </row>
    <row r="30" spans="1:12" x14ac:dyDescent="0.45">
      <c r="A30" s="7" t="s">
        <v>56</v>
      </c>
      <c r="B30" s="7" t="s">
        <v>57</v>
      </c>
      <c r="C30" s="8">
        <v>31</v>
      </c>
      <c r="D30" s="9">
        <f>IF(C30&gt;0,C30/Paramètres!$B$5,"")</f>
        <v>1.4090909090909092</v>
      </c>
      <c r="E30" s="10">
        <v>0</v>
      </c>
      <c r="F30" s="11">
        <f t="shared" si="0"/>
        <v>0</v>
      </c>
      <c r="G30" s="12" t="str">
        <f t="shared" si="1"/>
        <v>Non</v>
      </c>
      <c r="H30" s="12" t="str">
        <f t="shared" si="2"/>
        <v/>
      </c>
      <c r="I30" s="13">
        <f>IF(G30="Oui",Paramètres!$B$6,0)</f>
        <v>0</v>
      </c>
      <c r="J30" s="13">
        <f>IF(H30="Champion",Paramètres!$B$7,0)</f>
        <v>0</v>
      </c>
      <c r="K30" s="13">
        <f t="shared" si="3"/>
        <v>0</v>
      </c>
      <c r="L30" s="14">
        <f t="shared" si="4"/>
        <v>-1</v>
      </c>
    </row>
    <row r="31" spans="1:12" x14ac:dyDescent="0.45">
      <c r="A31" s="7" t="s">
        <v>56</v>
      </c>
      <c r="B31" s="7" t="s">
        <v>58</v>
      </c>
      <c r="C31" s="8">
        <v>45</v>
      </c>
      <c r="D31" s="9">
        <f>IF(C31&gt;0,C31/Paramètres!$B$5,"")</f>
        <v>2.0454545454545454</v>
      </c>
      <c r="E31" s="10">
        <v>0</v>
      </c>
      <c r="F31" s="11">
        <f t="shared" si="0"/>
        <v>0</v>
      </c>
      <c r="G31" s="12" t="str">
        <f t="shared" si="1"/>
        <v>Non</v>
      </c>
      <c r="H31" s="12" t="str">
        <f t="shared" si="2"/>
        <v/>
      </c>
      <c r="I31" s="13">
        <f>IF(G31="Oui",Paramètres!$B$6,0)</f>
        <v>0</v>
      </c>
      <c r="J31" s="13">
        <f>IF(H31="Champion",Paramètres!$B$7,0)</f>
        <v>0</v>
      </c>
      <c r="K31" s="13">
        <f t="shared" si="3"/>
        <v>0</v>
      </c>
      <c r="L31" s="14">
        <f t="shared" si="4"/>
        <v>-1</v>
      </c>
    </row>
    <row r="32" spans="1:12" x14ac:dyDescent="0.45">
      <c r="A32" s="7" t="s">
        <v>56</v>
      </c>
      <c r="B32" s="7" t="s">
        <v>59</v>
      </c>
      <c r="C32" s="8">
        <v>32</v>
      </c>
      <c r="D32" s="9">
        <f>IF(C32&gt;0,C32/Paramètres!$B$5,"")</f>
        <v>1.4545454545454546</v>
      </c>
      <c r="E32" s="10">
        <v>0</v>
      </c>
      <c r="F32" s="11">
        <f t="shared" si="0"/>
        <v>0</v>
      </c>
      <c r="G32" s="12" t="str">
        <f t="shared" si="1"/>
        <v>Non</v>
      </c>
      <c r="H32" s="12" t="str">
        <f t="shared" si="2"/>
        <v/>
      </c>
      <c r="I32" s="13">
        <f>IF(G32="Oui",Paramètres!$B$6,0)</f>
        <v>0</v>
      </c>
      <c r="J32" s="13">
        <f>IF(H32="Champion",Paramètres!$B$7,0)</f>
        <v>0</v>
      </c>
      <c r="K32" s="13">
        <f t="shared" si="3"/>
        <v>0</v>
      </c>
      <c r="L32" s="14">
        <f t="shared" si="4"/>
        <v>-1</v>
      </c>
    </row>
    <row r="33" spans="1:12" x14ac:dyDescent="0.45">
      <c r="A33" s="7" t="s">
        <v>56</v>
      </c>
      <c r="B33" s="7" t="s">
        <v>60</v>
      </c>
      <c r="C33" s="8">
        <v>22</v>
      </c>
      <c r="D33" s="9">
        <f>IF(C33&gt;0,C33/Paramètres!$B$5,"")</f>
        <v>1</v>
      </c>
      <c r="E33" s="10">
        <v>0</v>
      </c>
      <c r="F33" s="11">
        <f t="shared" si="0"/>
        <v>0</v>
      </c>
      <c r="G33" s="12" t="str">
        <f t="shared" si="1"/>
        <v>Non</v>
      </c>
      <c r="H33" s="12" t="str">
        <f t="shared" si="2"/>
        <v/>
      </c>
      <c r="I33" s="13">
        <f>IF(G33="Oui",Paramètres!$B$6,0)</f>
        <v>0</v>
      </c>
      <c r="J33" s="13">
        <f>IF(H33="Champion",Paramètres!$B$7,0)</f>
        <v>0</v>
      </c>
      <c r="K33" s="13">
        <f t="shared" si="3"/>
        <v>0</v>
      </c>
      <c r="L33" s="14">
        <f t="shared" si="4"/>
        <v>-1</v>
      </c>
    </row>
    <row r="34" spans="1:12" x14ac:dyDescent="0.45">
      <c r="A34" s="7" t="s">
        <v>61</v>
      </c>
      <c r="B34" s="7" t="s">
        <v>62</v>
      </c>
      <c r="C34" s="8">
        <v>35</v>
      </c>
      <c r="D34" s="9">
        <f>IF(C34&gt;0,C34/Paramètres!$B$5,"")</f>
        <v>1.5909090909090908</v>
      </c>
      <c r="E34" s="10">
        <v>3</v>
      </c>
      <c r="F34" s="11">
        <f t="shared" si="0"/>
        <v>1.8857142857142859</v>
      </c>
      <c r="G34" s="12" t="str">
        <f t="shared" si="1"/>
        <v>Oui</v>
      </c>
      <c r="H34" s="12" t="str">
        <f t="shared" si="2"/>
        <v/>
      </c>
      <c r="I34" s="13">
        <f>IF(G34="Oui",Paramètres!$B$6,0)</f>
        <v>200</v>
      </c>
      <c r="J34" s="13">
        <f>IF(H34="Champion",Paramètres!$B$7,0)</f>
        <v>0</v>
      </c>
      <c r="K34" s="13">
        <f t="shared" si="3"/>
        <v>200</v>
      </c>
      <c r="L34" s="14">
        <f t="shared" si="4"/>
        <v>1.8888108857142858</v>
      </c>
    </row>
    <row r="35" spans="1:12" x14ac:dyDescent="0.45">
      <c r="A35" s="7" t="s">
        <v>61</v>
      </c>
      <c r="B35" s="7" t="s">
        <v>63</v>
      </c>
      <c r="C35" s="8">
        <v>35</v>
      </c>
      <c r="D35" s="9">
        <f>IF(C35&gt;0,C35/Paramètres!$B$5,"")</f>
        <v>1.5909090909090908</v>
      </c>
      <c r="E35" s="10">
        <v>9</v>
      </c>
      <c r="F35" s="11">
        <f t="shared" si="0"/>
        <v>5.6571428571428575</v>
      </c>
      <c r="G35" s="12" t="str">
        <f t="shared" si="1"/>
        <v>Oui</v>
      </c>
      <c r="H35" s="12" t="str">
        <f t="shared" si="2"/>
        <v/>
      </c>
      <c r="I35" s="13">
        <f>IF(G35="Oui",Paramètres!$B$6,0)</f>
        <v>200</v>
      </c>
      <c r="J35" s="13">
        <f>IF(H35="Champion",Paramètres!$B$7,0)</f>
        <v>0</v>
      </c>
      <c r="K35" s="13">
        <f t="shared" si="3"/>
        <v>200</v>
      </c>
      <c r="L35" s="14">
        <f t="shared" si="4"/>
        <v>5.6662393571428575</v>
      </c>
    </row>
    <row r="36" spans="1:12" x14ac:dyDescent="0.45">
      <c r="A36" s="7" t="s">
        <v>61</v>
      </c>
      <c r="B36" s="7" t="s">
        <v>64</v>
      </c>
      <c r="C36" s="8">
        <v>35</v>
      </c>
      <c r="D36" s="9">
        <f>IF(C36&gt;0,C36/Paramètres!$B$5,"")</f>
        <v>1.5909090909090908</v>
      </c>
      <c r="E36" s="10">
        <v>0</v>
      </c>
      <c r="F36" s="11">
        <f t="shared" si="0"/>
        <v>0</v>
      </c>
      <c r="G36" s="12" t="str">
        <f t="shared" si="1"/>
        <v>Non</v>
      </c>
      <c r="H36" s="12" t="str">
        <f t="shared" si="2"/>
        <v/>
      </c>
      <c r="I36" s="13">
        <f>IF(G36="Oui",Paramètres!$B$6,0)</f>
        <v>0</v>
      </c>
      <c r="J36" s="13">
        <f>IF(H36="Champion",Paramètres!$B$7,0)</f>
        <v>0</v>
      </c>
      <c r="K36" s="13">
        <f t="shared" si="3"/>
        <v>0</v>
      </c>
      <c r="L36" s="14">
        <f t="shared" si="4"/>
        <v>-1</v>
      </c>
    </row>
    <row r="37" spans="1:12" x14ac:dyDescent="0.45">
      <c r="A37" s="7" t="s">
        <v>61</v>
      </c>
      <c r="B37" s="7" t="s">
        <v>65</v>
      </c>
      <c r="C37" s="8">
        <v>35</v>
      </c>
      <c r="D37" s="9">
        <f>IF(C37&gt;0,C37/Paramètres!$B$5,"")</f>
        <v>1.5909090909090908</v>
      </c>
      <c r="E37" s="10">
        <v>0</v>
      </c>
      <c r="F37" s="11">
        <f t="shared" si="0"/>
        <v>0</v>
      </c>
      <c r="G37" s="12" t="str">
        <f t="shared" si="1"/>
        <v>Non</v>
      </c>
      <c r="H37" s="12" t="str">
        <f t="shared" si="2"/>
        <v/>
      </c>
      <c r="I37" s="13">
        <f>IF(G37="Oui",Paramètres!$B$6,0)</f>
        <v>0</v>
      </c>
      <c r="J37" s="13">
        <f>IF(H37="Champion",Paramètres!$B$7,0)</f>
        <v>0</v>
      </c>
      <c r="K37" s="13">
        <f t="shared" si="3"/>
        <v>0</v>
      </c>
      <c r="L37" s="14">
        <f t="shared" si="4"/>
        <v>-1</v>
      </c>
    </row>
    <row r="38" spans="1:12" x14ac:dyDescent="0.45">
      <c r="A38" s="7" t="s">
        <v>66</v>
      </c>
      <c r="B38" s="7" t="s">
        <v>67</v>
      </c>
      <c r="C38" s="8">
        <v>40</v>
      </c>
      <c r="D38" s="9">
        <f>IF(C38&gt;0,C38/Paramètres!$B$5,"")</f>
        <v>1.8181818181818181</v>
      </c>
      <c r="E38" s="10">
        <v>0</v>
      </c>
      <c r="F38" s="11">
        <f t="shared" si="0"/>
        <v>0</v>
      </c>
      <c r="G38" s="12" t="str">
        <f t="shared" si="1"/>
        <v>Non</v>
      </c>
      <c r="H38" s="12" t="str">
        <f t="shared" si="2"/>
        <v/>
      </c>
      <c r="I38" s="13">
        <f>IF(G38="Oui",Paramètres!$B$6,0)</f>
        <v>0</v>
      </c>
      <c r="J38" s="13">
        <f>IF(H38="Champion",Paramètres!$B$7,0)</f>
        <v>0</v>
      </c>
      <c r="K38" s="13">
        <f t="shared" si="3"/>
        <v>0</v>
      </c>
      <c r="L38" s="14">
        <f t="shared" si="4"/>
        <v>-1</v>
      </c>
    </row>
    <row r="39" spans="1:12" x14ac:dyDescent="0.45">
      <c r="A39" s="7" t="s">
        <v>66</v>
      </c>
      <c r="B39" s="7" t="s">
        <v>68</v>
      </c>
      <c r="C39" s="8">
        <v>31</v>
      </c>
      <c r="D39" s="9">
        <f>IF(C39&gt;0,C39/Paramètres!$B$5,"")</f>
        <v>1.4090909090909092</v>
      </c>
      <c r="E39" s="10">
        <v>1</v>
      </c>
      <c r="F39" s="11">
        <f t="shared" si="0"/>
        <v>0.70967741935483863</v>
      </c>
      <c r="G39" s="12" t="str">
        <f t="shared" si="1"/>
        <v>Non</v>
      </c>
      <c r="H39" s="12" t="str">
        <f t="shared" si="2"/>
        <v/>
      </c>
      <c r="I39" s="13">
        <f>IF(G39="Oui",Paramètres!$B$6,0)</f>
        <v>0</v>
      </c>
      <c r="J39" s="13">
        <f>IF(H39="Champion",Paramètres!$B$7,0)</f>
        <v>0</v>
      </c>
      <c r="K39" s="13">
        <f t="shared" si="3"/>
        <v>0</v>
      </c>
      <c r="L39" s="14">
        <f t="shared" si="4"/>
        <v>-1</v>
      </c>
    </row>
    <row r="40" spans="1:12" x14ac:dyDescent="0.45">
      <c r="A40" s="7" t="s">
        <v>66</v>
      </c>
      <c r="B40" s="7" t="s">
        <v>69</v>
      </c>
      <c r="C40" s="8">
        <v>29</v>
      </c>
      <c r="D40" s="9">
        <f>IF(C40&gt;0,C40/Paramètres!$B$5,"")</f>
        <v>1.3181818181818181</v>
      </c>
      <c r="E40" s="10">
        <v>1</v>
      </c>
      <c r="F40" s="11">
        <f t="shared" si="0"/>
        <v>0.75862068965517249</v>
      </c>
      <c r="G40" s="12" t="str">
        <f t="shared" si="1"/>
        <v>Non</v>
      </c>
      <c r="H40" s="12" t="str">
        <f t="shared" si="2"/>
        <v/>
      </c>
      <c r="I40" s="13">
        <f>IF(G40="Oui",Paramètres!$B$6,0)</f>
        <v>0</v>
      </c>
      <c r="J40" s="13">
        <f>IF(H40="Champion",Paramètres!$B$7,0)</f>
        <v>0</v>
      </c>
      <c r="K40" s="13">
        <f t="shared" si="3"/>
        <v>0</v>
      </c>
      <c r="L40" s="14">
        <f t="shared" si="4"/>
        <v>-1</v>
      </c>
    </row>
    <row r="41" spans="1:12" x14ac:dyDescent="0.45">
      <c r="A41" s="7" t="s">
        <v>66</v>
      </c>
      <c r="B41" s="7" t="s">
        <v>70</v>
      </c>
      <c r="C41" s="8">
        <v>26</v>
      </c>
      <c r="D41" s="9">
        <f>IF(C41&gt;0,C41/Paramètres!$B$5,"")</f>
        <v>1.1818181818181819</v>
      </c>
      <c r="E41" s="10">
        <v>0</v>
      </c>
      <c r="F41" s="11">
        <f t="shared" si="0"/>
        <v>0</v>
      </c>
      <c r="G41" s="12" t="str">
        <f t="shared" si="1"/>
        <v>Non</v>
      </c>
      <c r="H41" s="12" t="str">
        <f t="shared" si="2"/>
        <v/>
      </c>
      <c r="I41" s="13">
        <f>IF(G41="Oui",Paramètres!$B$6,0)</f>
        <v>0</v>
      </c>
      <c r="J41" s="13">
        <f>IF(H41="Champion",Paramètres!$B$7,0)</f>
        <v>0</v>
      </c>
      <c r="K41" s="13">
        <f t="shared" si="3"/>
        <v>0</v>
      </c>
      <c r="L41" s="14">
        <f t="shared" si="4"/>
        <v>-1</v>
      </c>
    </row>
    <row r="42" spans="1:12" x14ac:dyDescent="0.45">
      <c r="A42" s="7" t="s">
        <v>66</v>
      </c>
      <c r="B42" s="7" t="s">
        <v>71</v>
      </c>
      <c r="C42" s="8">
        <v>41</v>
      </c>
      <c r="D42" s="9">
        <f>IF(C42&gt;0,C42/Paramètres!$B$5,"")</f>
        <v>1.8636363636363635</v>
      </c>
      <c r="E42" s="10">
        <v>1</v>
      </c>
      <c r="F42" s="11">
        <f t="shared" si="0"/>
        <v>0.53658536585365857</v>
      </c>
      <c r="G42" s="12" t="str">
        <f t="shared" si="1"/>
        <v>Non</v>
      </c>
      <c r="H42" s="12" t="str">
        <f t="shared" si="2"/>
        <v/>
      </c>
      <c r="I42" s="13">
        <f>IF(G42="Oui",Paramètres!$B$6,0)</f>
        <v>0</v>
      </c>
      <c r="J42" s="13">
        <f>IF(H42="Champion",Paramètres!$B$7,0)</f>
        <v>0</v>
      </c>
      <c r="K42" s="13">
        <f t="shared" si="3"/>
        <v>0</v>
      </c>
      <c r="L42" s="14">
        <f t="shared" si="4"/>
        <v>-1</v>
      </c>
    </row>
    <row r="43" spans="1:12" x14ac:dyDescent="0.45">
      <c r="A43" s="7" t="s">
        <v>72</v>
      </c>
      <c r="B43" s="7" t="s">
        <v>73</v>
      </c>
      <c r="C43" s="8">
        <v>50</v>
      </c>
      <c r="D43" s="9">
        <f>IF(C43&gt;0,C43/Paramètres!$B$5,"")</f>
        <v>2.2727272727272729</v>
      </c>
      <c r="E43" s="10">
        <v>0</v>
      </c>
      <c r="F43" s="11">
        <f t="shared" si="0"/>
        <v>0</v>
      </c>
      <c r="G43" s="12" t="str">
        <f t="shared" si="1"/>
        <v>Non</v>
      </c>
      <c r="H43" s="12" t="str">
        <f t="shared" si="2"/>
        <v/>
      </c>
      <c r="I43" s="13">
        <f>IF(G43="Oui",Paramètres!$B$6,0)</f>
        <v>0</v>
      </c>
      <c r="J43" s="13">
        <f>IF(H43="Champion",Paramètres!$B$7,0)</f>
        <v>0</v>
      </c>
      <c r="K43" s="13">
        <f t="shared" si="3"/>
        <v>0</v>
      </c>
      <c r="L43" s="14">
        <f t="shared" si="4"/>
        <v>-1</v>
      </c>
    </row>
    <row r="44" spans="1:12" x14ac:dyDescent="0.45">
      <c r="A44" s="7" t="s">
        <v>72</v>
      </c>
      <c r="B44" s="7" t="s">
        <v>74</v>
      </c>
      <c r="C44" s="8">
        <v>50</v>
      </c>
      <c r="D44" s="9">
        <f>IF(C44&gt;0,C44/Paramètres!$B$5,"")</f>
        <v>2.2727272727272729</v>
      </c>
      <c r="E44" s="10">
        <v>0</v>
      </c>
      <c r="F44" s="11">
        <f t="shared" si="0"/>
        <v>0</v>
      </c>
      <c r="G44" s="12" t="str">
        <f t="shared" si="1"/>
        <v>Non</v>
      </c>
      <c r="H44" s="12" t="str">
        <f t="shared" si="2"/>
        <v/>
      </c>
      <c r="I44" s="13">
        <f>IF(G44="Oui",Paramètres!$B$6,0)</f>
        <v>0</v>
      </c>
      <c r="J44" s="13">
        <f>IF(H44="Champion",Paramètres!$B$7,0)</f>
        <v>0</v>
      </c>
      <c r="K44" s="13">
        <f t="shared" si="3"/>
        <v>0</v>
      </c>
      <c r="L44" s="14">
        <f t="shared" si="4"/>
        <v>-1</v>
      </c>
    </row>
    <row r="45" spans="1:12" x14ac:dyDescent="0.45">
      <c r="A45" s="7" t="s">
        <v>75</v>
      </c>
      <c r="B45" s="7" t="s">
        <v>76</v>
      </c>
      <c r="C45" s="8">
        <v>30</v>
      </c>
      <c r="D45" s="9">
        <f>IF(C45&gt;0,C45/Paramètres!$B$5,"")</f>
        <v>1.3636363636363635</v>
      </c>
      <c r="E45" s="10">
        <v>0</v>
      </c>
      <c r="F45" s="11">
        <f t="shared" si="0"/>
        <v>0</v>
      </c>
      <c r="G45" s="12" t="str">
        <f t="shared" si="1"/>
        <v>Non</v>
      </c>
      <c r="H45" s="12" t="str">
        <f t="shared" si="2"/>
        <v/>
      </c>
      <c r="I45" s="13">
        <f>IF(G45="Oui",Paramètres!$B$6,0)</f>
        <v>0</v>
      </c>
      <c r="J45" s="13">
        <f>IF(H45="Champion",Paramètres!$B$7,0)</f>
        <v>0</v>
      </c>
      <c r="K45" s="13">
        <f t="shared" si="3"/>
        <v>0</v>
      </c>
      <c r="L45" s="14">
        <f t="shared" si="4"/>
        <v>-1</v>
      </c>
    </row>
    <row r="46" spans="1:12" x14ac:dyDescent="0.45">
      <c r="A46" s="7" t="s">
        <v>75</v>
      </c>
      <c r="B46" s="7" t="s">
        <v>77</v>
      </c>
      <c r="C46" s="8">
        <v>40</v>
      </c>
      <c r="D46" s="9">
        <f>IF(C46&gt;0,C46/Paramètres!$B$5,"")</f>
        <v>1.8181818181818181</v>
      </c>
      <c r="E46" s="10">
        <v>1</v>
      </c>
      <c r="F46" s="11">
        <f t="shared" si="0"/>
        <v>0.55000000000000004</v>
      </c>
      <c r="G46" s="12" t="str">
        <f t="shared" si="1"/>
        <v>Non</v>
      </c>
      <c r="H46" s="12" t="str">
        <f t="shared" si="2"/>
        <v/>
      </c>
      <c r="I46" s="13">
        <f>IF(G46="Oui",Paramètres!$B$6,0)</f>
        <v>0</v>
      </c>
      <c r="J46" s="13">
        <f>IF(H46="Champion",Paramètres!$B$7,0)</f>
        <v>0</v>
      </c>
      <c r="K46" s="13">
        <f t="shared" si="3"/>
        <v>0</v>
      </c>
      <c r="L46" s="14">
        <f t="shared" si="4"/>
        <v>-1</v>
      </c>
    </row>
    <row r="47" spans="1:12" x14ac:dyDescent="0.45">
      <c r="A47" s="7" t="s">
        <v>75</v>
      </c>
      <c r="B47" s="7" t="s">
        <v>78</v>
      </c>
      <c r="C47" s="8">
        <v>30</v>
      </c>
      <c r="D47" s="9">
        <f>IF(C47&gt;0,C47/Paramètres!$B$5,"")</f>
        <v>1.3636363636363635</v>
      </c>
      <c r="E47" s="10">
        <v>0</v>
      </c>
      <c r="F47" s="11">
        <f t="shared" si="0"/>
        <v>0</v>
      </c>
      <c r="G47" s="12" t="str">
        <f t="shared" si="1"/>
        <v>Non</v>
      </c>
      <c r="H47" s="12" t="str">
        <f t="shared" si="2"/>
        <v/>
      </c>
      <c r="I47" s="13">
        <f>IF(G47="Oui",Paramètres!$B$6,0)</f>
        <v>0</v>
      </c>
      <c r="J47" s="13">
        <f>IF(H47="Champion",Paramètres!$B$7,0)</f>
        <v>0</v>
      </c>
      <c r="K47" s="13">
        <f t="shared" si="3"/>
        <v>0</v>
      </c>
      <c r="L47" s="14">
        <f t="shared" si="4"/>
        <v>-1</v>
      </c>
    </row>
    <row r="48" spans="1:12" x14ac:dyDescent="0.45">
      <c r="A48" s="7" t="s">
        <v>79</v>
      </c>
      <c r="B48" s="7" t="s">
        <v>80</v>
      </c>
      <c r="C48" s="8"/>
      <c r="D48" s="9" t="str">
        <f>IF(C48&gt;0,C48/Paramètres!$B$5,"")</f>
        <v/>
      </c>
      <c r="E48" s="10">
        <v>1</v>
      </c>
      <c r="F48" s="11" t="str">
        <f t="shared" si="0"/>
        <v/>
      </c>
      <c r="G48" s="12" t="str">
        <f t="shared" si="1"/>
        <v>Sans objectif</v>
      </c>
      <c r="H48" s="12" t="str">
        <f t="shared" si="2"/>
        <v/>
      </c>
      <c r="I48" s="13">
        <f>IF(G48="Oui",Paramètres!$B$6,0)</f>
        <v>0</v>
      </c>
      <c r="J48" s="13">
        <f>IF(H48="Champion",Paramètres!$B$7,0)</f>
        <v>0</v>
      </c>
      <c r="K48" s="13">
        <f t="shared" si="3"/>
        <v>0</v>
      </c>
      <c r="L48" s="14">
        <f t="shared" si="4"/>
        <v>-1</v>
      </c>
    </row>
    <row r="49" spans="1:12" x14ac:dyDescent="0.45">
      <c r="A49" s="15" t="s">
        <v>81</v>
      </c>
      <c r="B49" s="16"/>
      <c r="C49" s="17">
        <f>SUM(C5:C48)</f>
        <v>1487</v>
      </c>
      <c r="D49" s="18">
        <f>SUM(D5:D48)</f>
        <v>67.590909090909093</v>
      </c>
      <c r="E49" s="17">
        <f>SUM(E5:E48)</f>
        <v>45</v>
      </c>
      <c r="F49" s="19">
        <f>IF(D49&gt;0,SUMIF(C5:C48,"&gt;0",E5:E48)/D49,"")</f>
        <v>0.65097511768661731</v>
      </c>
      <c r="G49" s="17" t="str">
        <f>COUNTIF(G5:G48,"Oui")&amp;" agents"</f>
        <v>7 agents</v>
      </c>
      <c r="H49" s="16"/>
      <c r="I49" s="20">
        <f>SUM(I5:I48)</f>
        <v>1400</v>
      </c>
      <c r="J49" s="20">
        <f>SUM(J5:J48)</f>
        <v>1000</v>
      </c>
      <c r="K49" s="20">
        <f>SUM(K5:K48)</f>
        <v>2400</v>
      </c>
      <c r="L49" s="16"/>
    </row>
    <row r="50" spans="1:12" x14ac:dyDescent="0.45">
      <c r="A50" s="2" t="s">
        <v>82</v>
      </c>
    </row>
  </sheetData>
  <conditionalFormatting sqref="F5:F48">
    <cfRule type="cellIs" dxfId="6" priority="2" operator="greaterThanOrEqual">
      <formula>1</formula>
    </cfRule>
    <cfRule type="cellIs" dxfId="5" priority="3" operator="between">
      <formula>0.0001</formula>
      <formula>0.9999</formula>
    </cfRule>
    <cfRule type="expression" dxfId="4" priority="4">
      <formula>AND(ISNUMBER(F5),F5=0)</formula>
    </cfRule>
  </conditionalFormatting>
  <conditionalFormatting sqref="H5:H48">
    <cfRule type="cellIs" dxfId="3" priority="5" operator="equal">
      <formula>"Champion"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Normal="100" workbookViewId="0"/>
  </sheetViews>
  <sheetFormatPr defaultColWidth="8.6640625" defaultRowHeight="14.25" x14ac:dyDescent="0.45"/>
  <cols>
    <col min="1" max="1" width="12" customWidth="1"/>
    <col min="2" max="4" width="10" customWidth="1"/>
    <col min="5" max="5" width="11" customWidth="1"/>
    <col min="6" max="6" width="12" customWidth="1"/>
    <col min="7" max="8" width="11" customWidth="1"/>
    <col min="9" max="9" width="12" customWidth="1"/>
    <col min="10" max="10" width="13" customWidth="1"/>
  </cols>
  <sheetData>
    <row r="1" spans="1:10" ht="17.649999999999999" x14ac:dyDescent="0.5">
      <c r="A1" s="1" t="s">
        <v>83</v>
      </c>
    </row>
    <row r="2" spans="1:10" x14ac:dyDescent="0.45">
      <c r="A2" s="2" t="s">
        <v>84</v>
      </c>
    </row>
    <row r="4" spans="1:10" ht="31.5" customHeight="1" x14ac:dyDescent="0.45">
      <c r="A4" s="6" t="s">
        <v>14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85</v>
      </c>
      <c r="G4" s="6" t="s">
        <v>86</v>
      </c>
      <c r="H4" s="6" t="s">
        <v>87</v>
      </c>
      <c r="I4" s="6" t="s">
        <v>88</v>
      </c>
      <c r="J4" s="6" t="s">
        <v>89</v>
      </c>
    </row>
    <row r="5" spans="1:10" x14ac:dyDescent="0.45">
      <c r="A5" s="7" t="s">
        <v>26</v>
      </c>
      <c r="B5" s="12">
        <f>SUMIF('Agents 12-10'!$A$5:$A$48,A5,'Agents 12-10'!$C$5:$C$48)</f>
        <v>340</v>
      </c>
      <c r="C5" s="21">
        <f>B5/Paramètres!$B$5</f>
        <v>15.454545454545455</v>
      </c>
      <c r="D5" s="12">
        <f>SUMIF('Agents 12-10'!$A$5:$A$48,A5,'Agents 12-10'!$E$5:$E$48)</f>
        <v>19</v>
      </c>
      <c r="E5" s="11">
        <f t="shared" ref="E5:E14" si="0">IF(C5&gt;0,D5/C5,"")</f>
        <v>1.2294117647058822</v>
      </c>
      <c r="F5" s="12" t="str">
        <f t="shared" ref="F5:F14" si="1">IF(D5&gt;=C5,"Oui","Non")</f>
        <v>Oui</v>
      </c>
      <c r="G5" s="12">
        <f>COUNTIFS('Agents 12-10'!$A$5:$A$48,A5,'Agents 12-10'!$C$5:$C$48,"&gt;0")</f>
        <v>12</v>
      </c>
      <c r="H5" s="12">
        <f>COUNTIFS('Agents 12-10'!$A$5:$A$48,A5,'Agents 12-10'!$E$5:$E$48,"&gt;0")</f>
        <v>6</v>
      </c>
      <c r="I5" s="12">
        <f>COUNTIFS('Agents 12-10'!$A$5:$A$48,A5,'Agents 12-10'!$G$5:$G$48,"Oui")</f>
        <v>3</v>
      </c>
      <c r="J5" s="13">
        <f>IF(F5="Oui",Paramètres!$B$8,0)</f>
        <v>500</v>
      </c>
    </row>
    <row r="6" spans="1:10" x14ac:dyDescent="0.45">
      <c r="A6" s="7" t="s">
        <v>40</v>
      </c>
      <c r="B6" s="12">
        <f>SUMIF('Agents 12-10'!$A$5:$A$48,A6,'Agents 12-10'!$C$5:$C$48)</f>
        <v>100</v>
      </c>
      <c r="C6" s="21">
        <f>B6/Paramètres!$B$5</f>
        <v>4.5454545454545459</v>
      </c>
      <c r="D6" s="12">
        <f>SUMIF('Agents 12-10'!$A$5:$A$48,A6,'Agents 12-10'!$E$5:$E$48)</f>
        <v>2</v>
      </c>
      <c r="E6" s="11">
        <f t="shared" si="0"/>
        <v>0.43999999999999995</v>
      </c>
      <c r="F6" s="12" t="str">
        <f t="shared" si="1"/>
        <v>Non</v>
      </c>
      <c r="G6" s="12">
        <f>COUNTIFS('Agents 12-10'!$A$5:$A$48,A6,'Agents 12-10'!$C$5:$C$48,"&gt;0")</f>
        <v>3</v>
      </c>
      <c r="H6" s="12">
        <f>COUNTIFS('Agents 12-10'!$A$5:$A$48,A6,'Agents 12-10'!$E$5:$E$48,"&gt;0")</f>
        <v>2</v>
      </c>
      <c r="I6" s="12">
        <f>COUNTIFS('Agents 12-10'!$A$5:$A$48,A6,'Agents 12-10'!$G$5:$G$48,"Oui")</f>
        <v>1</v>
      </c>
      <c r="J6" s="13">
        <f>IF(F6="Oui",Paramètres!$B$8,0)</f>
        <v>0</v>
      </c>
    </row>
    <row r="7" spans="1:10" x14ac:dyDescent="0.45">
      <c r="A7" s="7" t="s">
        <v>44</v>
      </c>
      <c r="B7" s="12">
        <f>SUMIF('Agents 12-10'!$A$5:$A$48,A7,'Agents 12-10'!$C$5:$C$48)</f>
        <v>210</v>
      </c>
      <c r="C7" s="21">
        <f>B7/Paramètres!$B$5</f>
        <v>9.545454545454545</v>
      </c>
      <c r="D7" s="12">
        <f>SUMIF('Agents 12-10'!$A$5:$A$48,A7,'Agents 12-10'!$E$5:$E$48)</f>
        <v>4</v>
      </c>
      <c r="E7" s="11">
        <f t="shared" si="0"/>
        <v>0.41904761904761906</v>
      </c>
      <c r="F7" s="12" t="str">
        <f t="shared" si="1"/>
        <v>Non</v>
      </c>
      <c r="G7" s="12">
        <f>COUNTIFS('Agents 12-10'!$A$5:$A$48,A7,'Agents 12-10'!$C$5:$C$48,"&gt;0")</f>
        <v>4</v>
      </c>
      <c r="H7" s="12">
        <f>COUNTIFS('Agents 12-10'!$A$5:$A$48,A7,'Agents 12-10'!$E$5:$E$48,"&gt;0")</f>
        <v>3</v>
      </c>
      <c r="I7" s="12">
        <f>COUNTIFS('Agents 12-10'!$A$5:$A$48,A7,'Agents 12-10'!$G$5:$G$48,"Oui")</f>
        <v>0</v>
      </c>
      <c r="J7" s="13">
        <f>IF(F7="Oui",Paramètres!$B$8,0)</f>
        <v>0</v>
      </c>
    </row>
    <row r="8" spans="1:10" x14ac:dyDescent="0.45">
      <c r="A8" s="7" t="s">
        <v>49</v>
      </c>
      <c r="B8" s="12">
        <f>SUMIF('Agents 12-10'!$A$5:$A$48,A8,'Agents 12-10'!$C$5:$C$48)</f>
        <v>120</v>
      </c>
      <c r="C8" s="21">
        <f>B8/Paramètres!$B$5</f>
        <v>5.4545454545454541</v>
      </c>
      <c r="D8" s="12">
        <f>SUMIF('Agents 12-10'!$A$5:$A$48,A8,'Agents 12-10'!$E$5:$E$48)</f>
        <v>3</v>
      </c>
      <c r="E8" s="11">
        <f t="shared" si="0"/>
        <v>0.55000000000000004</v>
      </c>
      <c r="F8" s="12" t="str">
        <f t="shared" si="1"/>
        <v>Non</v>
      </c>
      <c r="G8" s="12">
        <f>COUNTIFS('Agents 12-10'!$A$5:$A$48,A8,'Agents 12-10'!$C$5:$C$48,"&gt;0")</f>
        <v>2</v>
      </c>
      <c r="H8" s="12">
        <f>COUNTIFS('Agents 12-10'!$A$5:$A$48,A8,'Agents 12-10'!$E$5:$E$48,"&gt;0")</f>
        <v>1</v>
      </c>
      <c r="I8" s="12">
        <f>COUNTIFS('Agents 12-10'!$A$5:$A$48,A8,'Agents 12-10'!$G$5:$G$48,"Oui")</f>
        <v>1</v>
      </c>
      <c r="J8" s="13">
        <f>IF(F8="Oui",Paramètres!$B$8,0)</f>
        <v>0</v>
      </c>
    </row>
    <row r="9" spans="1:10" x14ac:dyDescent="0.45">
      <c r="A9" s="7" t="s">
        <v>53</v>
      </c>
      <c r="B9" s="12">
        <f>SUMIF('Agents 12-10'!$A$5:$A$48,A9,'Agents 12-10'!$C$5:$C$48)</f>
        <v>80</v>
      </c>
      <c r="C9" s="21">
        <f>B9/Paramètres!$B$5</f>
        <v>3.6363636363636362</v>
      </c>
      <c r="D9" s="12">
        <f>SUMIF('Agents 12-10'!$A$5:$A$48,A9,'Agents 12-10'!$E$5:$E$48)</f>
        <v>0</v>
      </c>
      <c r="E9" s="11">
        <f t="shared" si="0"/>
        <v>0</v>
      </c>
      <c r="F9" s="12" t="str">
        <f t="shared" si="1"/>
        <v>Non</v>
      </c>
      <c r="G9" s="12">
        <f>COUNTIFS('Agents 12-10'!$A$5:$A$48,A9,'Agents 12-10'!$C$5:$C$48,"&gt;0")</f>
        <v>2</v>
      </c>
      <c r="H9" s="12">
        <f>COUNTIFS('Agents 12-10'!$A$5:$A$48,A9,'Agents 12-10'!$E$5:$E$48,"&gt;0")</f>
        <v>0</v>
      </c>
      <c r="I9" s="12">
        <f>COUNTIFS('Agents 12-10'!$A$5:$A$48,A9,'Agents 12-10'!$G$5:$G$48,"Oui")</f>
        <v>0</v>
      </c>
      <c r="J9" s="13">
        <f>IF(F9="Oui",Paramètres!$B$8,0)</f>
        <v>0</v>
      </c>
    </row>
    <row r="10" spans="1:10" x14ac:dyDescent="0.45">
      <c r="A10" s="7" t="s">
        <v>56</v>
      </c>
      <c r="B10" s="12">
        <f>SUMIF('Agents 12-10'!$A$5:$A$48,A10,'Agents 12-10'!$C$5:$C$48)</f>
        <v>130</v>
      </c>
      <c r="C10" s="21">
        <f>B10/Paramètres!$B$5</f>
        <v>5.9090909090909092</v>
      </c>
      <c r="D10" s="12">
        <f>SUMIF('Agents 12-10'!$A$5:$A$48,A10,'Agents 12-10'!$E$5:$E$48)</f>
        <v>0</v>
      </c>
      <c r="E10" s="11">
        <f t="shared" si="0"/>
        <v>0</v>
      </c>
      <c r="F10" s="12" t="str">
        <f t="shared" si="1"/>
        <v>Non</v>
      </c>
      <c r="G10" s="12">
        <f>COUNTIFS('Agents 12-10'!$A$5:$A$48,A10,'Agents 12-10'!$C$5:$C$48,"&gt;0")</f>
        <v>4</v>
      </c>
      <c r="H10" s="12">
        <f>COUNTIFS('Agents 12-10'!$A$5:$A$48,A10,'Agents 12-10'!$E$5:$E$48,"&gt;0")</f>
        <v>0</v>
      </c>
      <c r="I10" s="12">
        <f>COUNTIFS('Agents 12-10'!$A$5:$A$48,A10,'Agents 12-10'!$G$5:$G$48,"Oui")</f>
        <v>0</v>
      </c>
      <c r="J10" s="13">
        <f>IF(F10="Oui",Paramètres!$B$8,0)</f>
        <v>0</v>
      </c>
    </row>
    <row r="11" spans="1:10" x14ac:dyDescent="0.45">
      <c r="A11" s="7" t="s">
        <v>61</v>
      </c>
      <c r="B11" s="12">
        <f>SUMIF('Agents 12-10'!$A$5:$A$48,A11,'Agents 12-10'!$C$5:$C$48)</f>
        <v>140</v>
      </c>
      <c r="C11" s="21">
        <f>B11/Paramètres!$B$5</f>
        <v>6.3636363636363633</v>
      </c>
      <c r="D11" s="12">
        <f>SUMIF('Agents 12-10'!$A$5:$A$48,A11,'Agents 12-10'!$E$5:$E$48)</f>
        <v>12</v>
      </c>
      <c r="E11" s="11">
        <f t="shared" si="0"/>
        <v>1.8857142857142859</v>
      </c>
      <c r="F11" s="12" t="str">
        <f t="shared" si="1"/>
        <v>Oui</v>
      </c>
      <c r="G11" s="12">
        <f>COUNTIFS('Agents 12-10'!$A$5:$A$48,A11,'Agents 12-10'!$C$5:$C$48,"&gt;0")</f>
        <v>4</v>
      </c>
      <c r="H11" s="12">
        <f>COUNTIFS('Agents 12-10'!$A$5:$A$48,A11,'Agents 12-10'!$E$5:$E$48,"&gt;0")</f>
        <v>2</v>
      </c>
      <c r="I11" s="12">
        <f>COUNTIFS('Agents 12-10'!$A$5:$A$48,A11,'Agents 12-10'!$G$5:$G$48,"Oui")</f>
        <v>2</v>
      </c>
      <c r="J11" s="13">
        <f>IF(F11="Oui",Paramètres!$B$8,0)</f>
        <v>500</v>
      </c>
    </row>
    <row r="12" spans="1:10" x14ac:dyDescent="0.45">
      <c r="A12" s="7" t="s">
        <v>66</v>
      </c>
      <c r="B12" s="12">
        <f>SUMIF('Agents 12-10'!$A$5:$A$48,A12,'Agents 12-10'!$C$5:$C$48)</f>
        <v>167</v>
      </c>
      <c r="C12" s="21">
        <f>B12/Paramètres!$B$5</f>
        <v>7.5909090909090908</v>
      </c>
      <c r="D12" s="12">
        <f>SUMIF('Agents 12-10'!$A$5:$A$48,A12,'Agents 12-10'!$E$5:$E$48)</f>
        <v>3</v>
      </c>
      <c r="E12" s="11">
        <f t="shared" si="0"/>
        <v>0.39520958083832336</v>
      </c>
      <c r="F12" s="12" t="str">
        <f t="shared" si="1"/>
        <v>Non</v>
      </c>
      <c r="G12" s="12">
        <f>COUNTIFS('Agents 12-10'!$A$5:$A$48,A12,'Agents 12-10'!$C$5:$C$48,"&gt;0")</f>
        <v>5</v>
      </c>
      <c r="H12" s="12">
        <f>COUNTIFS('Agents 12-10'!$A$5:$A$48,A12,'Agents 12-10'!$E$5:$E$48,"&gt;0")</f>
        <v>3</v>
      </c>
      <c r="I12" s="12">
        <f>COUNTIFS('Agents 12-10'!$A$5:$A$48,A12,'Agents 12-10'!$G$5:$G$48,"Oui")</f>
        <v>0</v>
      </c>
      <c r="J12" s="13">
        <f>IF(F12="Oui",Paramètres!$B$8,0)</f>
        <v>0</v>
      </c>
    </row>
    <row r="13" spans="1:10" x14ac:dyDescent="0.45">
      <c r="A13" s="7" t="s">
        <v>72</v>
      </c>
      <c r="B13" s="12">
        <f>SUMIF('Agents 12-10'!$A$5:$A$48,A13,'Agents 12-10'!$C$5:$C$48)</f>
        <v>100</v>
      </c>
      <c r="C13" s="21">
        <f>B13/Paramètres!$B$5</f>
        <v>4.5454545454545459</v>
      </c>
      <c r="D13" s="12">
        <f>SUMIF('Agents 12-10'!$A$5:$A$48,A13,'Agents 12-10'!$E$5:$E$48)</f>
        <v>0</v>
      </c>
      <c r="E13" s="11">
        <f t="shared" si="0"/>
        <v>0</v>
      </c>
      <c r="F13" s="12" t="str">
        <f t="shared" si="1"/>
        <v>Non</v>
      </c>
      <c r="G13" s="12">
        <f>COUNTIFS('Agents 12-10'!$A$5:$A$48,A13,'Agents 12-10'!$C$5:$C$48,"&gt;0")</f>
        <v>2</v>
      </c>
      <c r="H13" s="12">
        <f>COUNTIFS('Agents 12-10'!$A$5:$A$48,A13,'Agents 12-10'!$E$5:$E$48,"&gt;0")</f>
        <v>0</v>
      </c>
      <c r="I13" s="12">
        <f>COUNTIFS('Agents 12-10'!$A$5:$A$48,A13,'Agents 12-10'!$G$5:$G$48,"Oui")</f>
        <v>0</v>
      </c>
      <c r="J13" s="13">
        <f>IF(F13="Oui",Paramètres!$B$8,0)</f>
        <v>0</v>
      </c>
    </row>
    <row r="14" spans="1:10" x14ac:dyDescent="0.45">
      <c r="A14" s="7" t="s">
        <v>75</v>
      </c>
      <c r="B14" s="12">
        <f>SUMIF('Agents 12-10'!$A$5:$A$48,A14,'Agents 12-10'!$C$5:$C$48)</f>
        <v>100</v>
      </c>
      <c r="C14" s="21">
        <f>B14/Paramètres!$B$5</f>
        <v>4.5454545454545459</v>
      </c>
      <c r="D14" s="12">
        <f>SUMIF('Agents 12-10'!$A$5:$A$48,A14,'Agents 12-10'!$E$5:$E$48)</f>
        <v>1</v>
      </c>
      <c r="E14" s="11">
        <f t="shared" si="0"/>
        <v>0.21999999999999997</v>
      </c>
      <c r="F14" s="12" t="str">
        <f t="shared" si="1"/>
        <v>Non</v>
      </c>
      <c r="G14" s="12">
        <f>COUNTIFS('Agents 12-10'!$A$5:$A$48,A14,'Agents 12-10'!$C$5:$C$48,"&gt;0")</f>
        <v>3</v>
      </c>
      <c r="H14" s="12">
        <f>COUNTIFS('Agents 12-10'!$A$5:$A$48,A14,'Agents 12-10'!$E$5:$E$48,"&gt;0")</f>
        <v>1</v>
      </c>
      <c r="I14" s="12">
        <f>COUNTIFS('Agents 12-10'!$A$5:$A$48,A14,'Agents 12-10'!$G$5:$G$48,"Oui")</f>
        <v>0</v>
      </c>
      <c r="J14" s="13">
        <f>IF(F14="Oui",Paramètres!$B$8,0)</f>
        <v>0</v>
      </c>
    </row>
    <row r="15" spans="1:10" x14ac:dyDescent="0.45">
      <c r="A15" s="15" t="s">
        <v>90</v>
      </c>
      <c r="B15" s="17">
        <f>SUM(B5:B14)</f>
        <v>1487</v>
      </c>
      <c r="C15" s="18">
        <f>SUM(C5:C14)</f>
        <v>67.590909090909093</v>
      </c>
      <c r="D15" s="17">
        <f>SUM(D5:D14)</f>
        <v>44</v>
      </c>
      <c r="E15" s="19">
        <f>IF(C15&gt;0,'Agents 12-10'!E49/C15,"")</f>
        <v>0.66577000672494957</v>
      </c>
      <c r="F15" s="16"/>
      <c r="G15" s="17">
        <f>SUM(G5:G14)</f>
        <v>41</v>
      </c>
      <c r="H15" s="17">
        <f>SUM(H5:H14)</f>
        <v>18</v>
      </c>
      <c r="I15" s="17">
        <f>SUM(I5:I14)</f>
        <v>7</v>
      </c>
      <c r="J15" s="20">
        <f>SUM(J5:J14)</f>
        <v>1000</v>
      </c>
    </row>
  </sheetData>
  <conditionalFormatting sqref="E5:E14">
    <cfRule type="cellIs" dxfId="2" priority="2" operator="greaterThanOrEqual">
      <formula>1</formula>
    </cfRule>
    <cfRule type="cellIs" dxfId="1" priority="3" operator="between">
      <formula>0.0001</formula>
      <formula>0.9999</formula>
    </cfRule>
    <cfRule type="expression" dxfId="0" priority="4">
      <formula>AND(ISNUMBER(E5),E5=0)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Normal="100" workbookViewId="0"/>
  </sheetViews>
  <sheetFormatPr defaultColWidth="8.6640625" defaultRowHeight="14.25" x14ac:dyDescent="0.45"/>
  <cols>
    <col min="1" max="1" width="20" customWidth="1"/>
    <col min="2" max="2" width="70" customWidth="1"/>
    <col min="3" max="3" width="60" customWidth="1"/>
  </cols>
  <sheetData>
    <row r="1" spans="1:3" ht="17.649999999999999" x14ac:dyDescent="0.5">
      <c r="A1" s="1" t="s">
        <v>91</v>
      </c>
    </row>
    <row r="2" spans="1:3" x14ac:dyDescent="0.45">
      <c r="A2" s="2" t="s">
        <v>92</v>
      </c>
    </row>
    <row r="4" spans="1:3" ht="31.5" customHeight="1" x14ac:dyDescent="0.45">
      <c r="A4" s="6" t="s">
        <v>93</v>
      </c>
      <c r="B4" s="6" t="s">
        <v>94</v>
      </c>
      <c r="C4" s="6" t="s">
        <v>95</v>
      </c>
    </row>
    <row r="5" spans="1:3" ht="27" x14ac:dyDescent="0.45">
      <c r="A5" s="22" t="s">
        <v>96</v>
      </c>
      <c r="B5" s="23" t="s">
        <v>97</v>
      </c>
      <c r="C5" s="23" t="s">
        <v>98</v>
      </c>
    </row>
    <row r="6" spans="1:3" ht="27" x14ac:dyDescent="0.45">
      <c r="A6" s="22" t="s">
        <v>99</v>
      </c>
      <c r="B6" s="23" t="s">
        <v>100</v>
      </c>
      <c r="C6" s="23" t="s">
        <v>101</v>
      </c>
    </row>
    <row r="7" spans="1:3" ht="27" x14ac:dyDescent="0.45">
      <c r="A7" s="22" t="s">
        <v>102</v>
      </c>
      <c r="B7" s="23" t="s">
        <v>103</v>
      </c>
      <c r="C7" s="23" t="s">
        <v>104</v>
      </c>
    </row>
    <row r="8" spans="1:3" ht="27" x14ac:dyDescent="0.45">
      <c r="A8" s="22" t="s">
        <v>105</v>
      </c>
      <c r="B8" s="23" t="s">
        <v>106</v>
      </c>
      <c r="C8" s="23" t="s">
        <v>107</v>
      </c>
    </row>
    <row r="9" spans="1:3" x14ac:dyDescent="0.45">
      <c r="A9" s="22" t="s">
        <v>108</v>
      </c>
      <c r="B9" s="23" t="s">
        <v>109</v>
      </c>
      <c r="C9" s="23" t="s">
        <v>110</v>
      </c>
    </row>
    <row r="10" spans="1:3" ht="27" x14ac:dyDescent="0.45">
      <c r="A10" s="22" t="s">
        <v>111</v>
      </c>
      <c r="B10" s="23" t="s">
        <v>112</v>
      </c>
      <c r="C10" s="23" t="s">
        <v>113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tabSelected="1" zoomScaleNormal="100" workbookViewId="0">
      <selection activeCell="A16" sqref="A16"/>
    </sheetView>
  </sheetViews>
  <sheetFormatPr defaultColWidth="8.6640625" defaultRowHeight="14.25" x14ac:dyDescent="0.45"/>
  <cols>
    <col min="1" max="1" width="110" customWidth="1"/>
  </cols>
  <sheetData>
    <row r="1" spans="1:1" ht="17.649999999999999" x14ac:dyDescent="0.5">
      <c r="A1" s="1" t="s">
        <v>114</v>
      </c>
    </row>
    <row r="2" spans="1:1" x14ac:dyDescent="0.45">
      <c r="A2" s="2" t="s">
        <v>115</v>
      </c>
    </row>
    <row r="4" spans="1:1" x14ac:dyDescent="0.45">
      <c r="A4" s="24" t="s">
        <v>116</v>
      </c>
    </row>
    <row r="5" spans="1:1" ht="27.75" x14ac:dyDescent="0.45">
      <c r="A5" s="24" t="s">
        <v>117</v>
      </c>
    </row>
    <row r="6" spans="1:1" x14ac:dyDescent="0.45">
      <c r="A6" s="24" t="s">
        <v>118</v>
      </c>
    </row>
    <row r="7" spans="1:1" x14ac:dyDescent="0.45">
      <c r="A7" s="24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Paramètres</vt:lpstr>
      <vt:lpstr>Agents 12-10</vt:lpstr>
      <vt:lpstr>Équipes 12-10</vt:lpstr>
      <vt:lpstr>Points d'attention</vt:lpstr>
      <vt:lpstr>Message WhatsApp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Gaudens Romain ZOCLI</cp:lastModifiedBy>
  <cp:revision>0</cp:revision>
  <dcterms:created xsi:type="dcterms:W3CDTF">2026-10-13T10:54:05Z</dcterms:created>
  <dcterms:modified xsi:type="dcterms:W3CDTF">2026-10-14T07:28:28Z</dcterms:modified>
  <dc:language>en-US</dc:language>
</cp:coreProperties>
</file>