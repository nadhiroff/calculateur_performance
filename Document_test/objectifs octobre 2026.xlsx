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94c0943bd02416/Documents/2026/Celtiis/"/>
    </mc:Choice>
  </mc:AlternateContent>
  <xr:revisionPtr revIDLastSave="0" documentId="8_{1D1E5B83-1DE3-402A-9839-0DB962B7C397}" xr6:coauthVersionLast="47" xr6:coauthVersionMax="47" xr10:uidLastSave="{00000000-0000-0000-0000-000000000000}"/>
  <bookViews>
    <workbookView xWindow="-98" yWindow="-98" windowWidth="21795" windowHeight="13875" xr2:uid="{518AAA14-DF6A-42D6-9083-A9552BC51034}"/>
  </bookViews>
  <sheets>
    <sheet name="OBJECTIFS TRA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7" i="1" l="1"/>
  <c r="K87" i="1"/>
  <c r="J87" i="1"/>
  <c r="E87" i="1"/>
  <c r="D87" i="1"/>
  <c r="C87" i="1" s="1"/>
  <c r="K86" i="1"/>
  <c r="J86" i="1"/>
  <c r="L86" i="1" s="1"/>
  <c r="E86" i="1"/>
  <c r="D86" i="1" s="1"/>
  <c r="C86" i="1" s="1"/>
  <c r="K85" i="1"/>
  <c r="J85" i="1"/>
  <c r="L85" i="1" s="1"/>
  <c r="E85" i="1"/>
  <c r="D85" i="1" s="1"/>
  <c r="C85" i="1" s="1"/>
  <c r="C84" i="1" s="1"/>
  <c r="K84" i="1"/>
  <c r="J84" i="1"/>
  <c r="L84" i="1" s="1"/>
  <c r="E84" i="1"/>
  <c r="D84" i="1" s="1"/>
  <c r="K80" i="1"/>
  <c r="J80" i="1"/>
  <c r="L80" i="1" s="1"/>
  <c r="E80" i="1"/>
  <c r="D80" i="1"/>
  <c r="C80" i="1" s="1"/>
  <c r="K79" i="1"/>
  <c r="J79" i="1"/>
  <c r="L79" i="1" s="1"/>
  <c r="E79" i="1"/>
  <c r="D79" i="1" s="1"/>
  <c r="C79" i="1" s="1"/>
  <c r="K78" i="1"/>
  <c r="J78" i="1"/>
  <c r="L78" i="1" s="1"/>
  <c r="E78" i="1"/>
  <c r="D78" i="1" s="1"/>
  <c r="C78" i="1" s="1"/>
  <c r="K74" i="1"/>
  <c r="J74" i="1"/>
  <c r="L74" i="1" s="1"/>
  <c r="E74" i="1"/>
  <c r="D74" i="1" s="1"/>
  <c r="C74" i="1" s="1"/>
  <c r="K73" i="1"/>
  <c r="J73" i="1"/>
  <c r="L73" i="1" s="1"/>
  <c r="E73" i="1"/>
  <c r="D73" i="1" s="1"/>
  <c r="C73" i="1" s="1"/>
  <c r="K72" i="1"/>
  <c r="J72" i="1"/>
  <c r="L72" i="1" s="1"/>
  <c r="E72" i="1"/>
  <c r="D72" i="1" s="1"/>
  <c r="C72" i="1" s="1"/>
  <c r="K71" i="1"/>
  <c r="J71" i="1"/>
  <c r="L71" i="1" s="1"/>
  <c r="E71" i="1"/>
  <c r="D71" i="1" s="1"/>
  <c r="C71" i="1" s="1"/>
  <c r="K70" i="1"/>
  <c r="J70" i="1"/>
  <c r="L70" i="1" s="1"/>
  <c r="E70" i="1"/>
  <c r="D70" i="1" s="1"/>
  <c r="C70" i="1" s="1"/>
  <c r="G69" i="1"/>
  <c r="K69" i="1" s="1"/>
  <c r="F69" i="1"/>
  <c r="K65" i="1"/>
  <c r="J65" i="1"/>
  <c r="L65" i="1" s="1"/>
  <c r="M65" i="1" s="1"/>
  <c r="E65" i="1"/>
  <c r="D65" i="1" s="1"/>
  <c r="C65" i="1" s="1"/>
  <c r="K64" i="1"/>
  <c r="J64" i="1"/>
  <c r="L64" i="1" s="1"/>
  <c r="M64" i="1" s="1"/>
  <c r="E64" i="1"/>
  <c r="D64" i="1"/>
  <c r="C64" i="1" s="1"/>
  <c r="K63" i="1"/>
  <c r="J63" i="1"/>
  <c r="L63" i="1" s="1"/>
  <c r="M63" i="1" s="1"/>
  <c r="E63" i="1"/>
  <c r="D63" i="1" s="1"/>
  <c r="C63" i="1" s="1"/>
  <c r="K62" i="1"/>
  <c r="J62" i="1"/>
  <c r="L62" i="1" s="1"/>
  <c r="E62" i="1"/>
  <c r="D62" i="1"/>
  <c r="C62" i="1" s="1"/>
  <c r="C61" i="1" s="1"/>
  <c r="G61" i="1"/>
  <c r="K61" i="1" s="1"/>
  <c r="F61" i="1"/>
  <c r="K57" i="1"/>
  <c r="J57" i="1"/>
  <c r="L57" i="1" s="1"/>
  <c r="E57" i="1"/>
  <c r="D57" i="1" s="1"/>
  <c r="C57" i="1" s="1"/>
  <c r="K56" i="1"/>
  <c r="J56" i="1"/>
  <c r="L56" i="1" s="1"/>
  <c r="E56" i="1"/>
  <c r="D56" i="1" s="1"/>
  <c r="C56" i="1" s="1"/>
  <c r="L55" i="1"/>
  <c r="K55" i="1"/>
  <c r="J55" i="1"/>
  <c r="E55" i="1"/>
  <c r="D55" i="1" s="1"/>
  <c r="C55" i="1" s="1"/>
  <c r="K54" i="1"/>
  <c r="J54" i="1"/>
  <c r="L54" i="1" s="1"/>
  <c r="E54" i="1"/>
  <c r="D54" i="1" s="1"/>
  <c r="C54" i="1" s="1"/>
  <c r="G53" i="1"/>
  <c r="K53" i="1" s="1"/>
  <c r="F53" i="1"/>
  <c r="J53" i="1" s="1"/>
  <c r="L53" i="1" s="1"/>
  <c r="E53" i="1"/>
  <c r="D53" i="1" s="1"/>
  <c r="K49" i="1"/>
  <c r="J49" i="1"/>
  <c r="L49" i="1" s="1"/>
  <c r="E49" i="1"/>
  <c r="D49" i="1" s="1"/>
  <c r="C49" i="1" s="1"/>
  <c r="K48" i="1"/>
  <c r="J48" i="1"/>
  <c r="L48" i="1" s="1"/>
  <c r="E48" i="1"/>
  <c r="D48" i="1"/>
  <c r="C48" i="1" s="1"/>
  <c r="G47" i="1"/>
  <c r="K47" i="1" s="1"/>
  <c r="F47" i="1"/>
  <c r="K42" i="1"/>
  <c r="J42" i="1"/>
  <c r="L42" i="1" s="1"/>
  <c r="E42" i="1"/>
  <c r="D42" i="1" s="1"/>
  <c r="C42" i="1" s="1"/>
  <c r="K41" i="1"/>
  <c r="J41" i="1"/>
  <c r="L41" i="1" s="1"/>
  <c r="E41" i="1"/>
  <c r="D41" i="1" s="1"/>
  <c r="C41" i="1" s="1"/>
  <c r="G40" i="1"/>
  <c r="K40" i="1" s="1"/>
  <c r="F40" i="1"/>
  <c r="K36" i="1"/>
  <c r="J36" i="1"/>
  <c r="L36" i="1" s="1"/>
  <c r="E36" i="1"/>
  <c r="D36" i="1" s="1"/>
  <c r="C36" i="1" s="1"/>
  <c r="K35" i="1"/>
  <c r="J35" i="1"/>
  <c r="L35" i="1" s="1"/>
  <c r="E35" i="1"/>
  <c r="D35" i="1" s="1"/>
  <c r="C35" i="1" s="1"/>
  <c r="K34" i="1"/>
  <c r="J34" i="1"/>
  <c r="L34" i="1" s="1"/>
  <c r="E34" i="1"/>
  <c r="D34" i="1" s="1"/>
  <c r="C34" i="1" s="1"/>
  <c r="K33" i="1"/>
  <c r="J33" i="1"/>
  <c r="L33" i="1" s="1"/>
  <c r="E33" i="1"/>
  <c r="D33" i="1" s="1"/>
  <c r="C33" i="1" s="1"/>
  <c r="C32" i="1" s="1"/>
  <c r="G32" i="1"/>
  <c r="K32" i="1" s="1"/>
  <c r="F32" i="1"/>
  <c r="K28" i="1"/>
  <c r="J28" i="1"/>
  <c r="L28" i="1" s="1"/>
  <c r="E28" i="1"/>
  <c r="D28" i="1" s="1"/>
  <c r="C28" i="1" s="1"/>
  <c r="K27" i="1"/>
  <c r="J27" i="1"/>
  <c r="L27" i="1" s="1"/>
  <c r="E27" i="1"/>
  <c r="D27" i="1" s="1"/>
  <c r="C27" i="1" s="1"/>
  <c r="K26" i="1"/>
  <c r="J26" i="1"/>
  <c r="L26" i="1" s="1"/>
  <c r="E26" i="1"/>
  <c r="D26" i="1" s="1"/>
  <c r="C26" i="1" s="1"/>
  <c r="C25" i="1" s="1"/>
  <c r="G25" i="1"/>
  <c r="K25" i="1" s="1"/>
  <c r="F25" i="1"/>
  <c r="J25" i="1" s="1"/>
  <c r="L25" i="1" s="1"/>
  <c r="E25" i="1"/>
  <c r="D25" i="1" s="1"/>
  <c r="K20" i="1"/>
  <c r="J20" i="1"/>
  <c r="L20" i="1" s="1"/>
  <c r="E20" i="1"/>
  <c r="D20" i="1" s="1"/>
  <c r="C20" i="1" s="1"/>
  <c r="K19" i="1"/>
  <c r="J19" i="1"/>
  <c r="L19" i="1" s="1"/>
  <c r="E19" i="1"/>
  <c r="D19" i="1"/>
  <c r="C19" i="1" s="1"/>
  <c r="K18" i="1"/>
  <c r="J18" i="1"/>
  <c r="L18" i="1" s="1"/>
  <c r="E18" i="1"/>
  <c r="D18" i="1" s="1"/>
  <c r="C18" i="1" s="1"/>
  <c r="K17" i="1"/>
  <c r="J17" i="1"/>
  <c r="L17" i="1" s="1"/>
  <c r="E17" i="1"/>
  <c r="D17" i="1" s="1"/>
  <c r="C17" i="1" s="1"/>
  <c r="K16" i="1"/>
  <c r="J16" i="1"/>
  <c r="L16" i="1" s="1"/>
  <c r="E16" i="1"/>
  <c r="D16" i="1" s="1"/>
  <c r="C16" i="1" s="1"/>
  <c r="K15" i="1"/>
  <c r="J15" i="1"/>
  <c r="L15" i="1" s="1"/>
  <c r="E15" i="1"/>
  <c r="D15" i="1" s="1"/>
  <c r="C15" i="1" s="1"/>
  <c r="K14" i="1"/>
  <c r="J14" i="1"/>
  <c r="L14" i="1" s="1"/>
  <c r="E14" i="1"/>
  <c r="D14" i="1" s="1"/>
  <c r="C14" i="1" s="1"/>
  <c r="K13" i="1"/>
  <c r="J13" i="1"/>
  <c r="L13" i="1" s="1"/>
  <c r="E13" i="1"/>
  <c r="D13" i="1" s="1"/>
  <c r="C13" i="1" s="1"/>
  <c r="K12" i="1"/>
  <c r="J12" i="1"/>
  <c r="L12" i="1" s="1"/>
  <c r="E12" i="1"/>
  <c r="D12" i="1" s="1"/>
  <c r="L11" i="1"/>
  <c r="K11" i="1"/>
  <c r="J11" i="1"/>
  <c r="E11" i="1"/>
  <c r="D11" i="1"/>
  <c r="C11" i="1"/>
  <c r="K10" i="1"/>
  <c r="J10" i="1"/>
  <c r="L10" i="1" s="1"/>
  <c r="E10" i="1"/>
  <c r="D10" i="1"/>
  <c r="C10" i="1"/>
  <c r="K9" i="1"/>
  <c r="J9" i="1"/>
  <c r="L9" i="1" s="1"/>
  <c r="E9" i="1"/>
  <c r="D9" i="1"/>
  <c r="C9" i="1"/>
  <c r="G8" i="1"/>
  <c r="K8" i="1" s="1"/>
  <c r="K3" i="1" s="1"/>
  <c r="K4" i="1" s="1"/>
  <c r="F8" i="1"/>
  <c r="J8" i="1" s="1"/>
  <c r="E8" i="1"/>
  <c r="D8" i="1"/>
  <c r="C8" i="1"/>
  <c r="F4" i="1"/>
  <c r="G3" i="1"/>
  <c r="G4" i="1" s="1"/>
  <c r="F3" i="1"/>
  <c r="E3" i="1" s="1"/>
  <c r="N87" i="1" l="1"/>
  <c r="M87" i="1"/>
  <c r="M86" i="1"/>
  <c r="N86" i="1"/>
  <c r="M85" i="1"/>
  <c r="N85" i="1"/>
  <c r="N84" i="1"/>
  <c r="M84" i="1"/>
  <c r="M80" i="1"/>
  <c r="N80" i="1"/>
  <c r="N79" i="1"/>
  <c r="M79" i="1"/>
  <c r="N78" i="1"/>
  <c r="M78" i="1"/>
  <c r="M74" i="1"/>
  <c r="N74" i="1"/>
  <c r="N73" i="1"/>
  <c r="M73" i="1"/>
  <c r="N72" i="1"/>
  <c r="M72" i="1"/>
  <c r="N71" i="1"/>
  <c r="M71" i="1"/>
  <c r="N70" i="1"/>
  <c r="M70" i="1"/>
  <c r="J69" i="1"/>
  <c r="L69" i="1" s="1"/>
  <c r="E69" i="1"/>
  <c r="D69" i="1" s="1"/>
  <c r="C69" i="1" s="1"/>
  <c r="M62" i="1"/>
  <c r="N62" i="1"/>
  <c r="J61" i="1"/>
  <c r="L61" i="1" s="1"/>
  <c r="E61" i="1"/>
  <c r="N57" i="1"/>
  <c r="M57" i="1"/>
  <c r="N56" i="1"/>
  <c r="M56" i="1"/>
  <c r="M55" i="1"/>
  <c r="N55" i="1"/>
  <c r="N54" i="1"/>
  <c r="M54" i="1"/>
  <c r="N53" i="1"/>
  <c r="M53" i="1"/>
  <c r="M49" i="1"/>
  <c r="N49" i="1"/>
  <c r="N48" i="1"/>
  <c r="M48" i="1"/>
  <c r="E47" i="1"/>
  <c r="D47" i="1" s="1"/>
  <c r="C47" i="1" s="1"/>
  <c r="J47" i="1"/>
  <c r="L47" i="1" s="1"/>
  <c r="N42" i="1"/>
  <c r="M42" i="1"/>
  <c r="N41" i="1"/>
  <c r="M41" i="1"/>
  <c r="J40" i="1"/>
  <c r="L40" i="1" s="1"/>
  <c r="E40" i="1"/>
  <c r="D40" i="1" s="1"/>
  <c r="C40" i="1" s="1"/>
  <c r="N36" i="1"/>
  <c r="M36" i="1"/>
  <c r="M35" i="1"/>
  <c r="N35" i="1"/>
  <c r="M34" i="1"/>
  <c r="N34" i="1"/>
  <c r="N33" i="1"/>
  <c r="M33" i="1"/>
  <c r="J32" i="1"/>
  <c r="L32" i="1" s="1"/>
  <c r="E32" i="1"/>
  <c r="D32" i="1" s="1"/>
  <c r="N28" i="1"/>
  <c r="M28" i="1"/>
  <c r="M27" i="1"/>
  <c r="N27" i="1"/>
  <c r="N26" i="1"/>
  <c r="M26" i="1"/>
  <c r="M25" i="1"/>
  <c r="N25" i="1"/>
  <c r="M20" i="1"/>
  <c r="N20" i="1"/>
  <c r="M19" i="1"/>
  <c r="N19" i="1"/>
  <c r="M18" i="1"/>
  <c r="N18" i="1"/>
  <c r="M17" i="1"/>
  <c r="N17" i="1"/>
  <c r="N16" i="1"/>
  <c r="M16" i="1"/>
  <c r="M15" i="1"/>
  <c r="N15" i="1"/>
  <c r="N14" i="1"/>
  <c r="M14" i="1"/>
  <c r="N13" i="1"/>
  <c r="M13" i="1"/>
  <c r="M12" i="1"/>
  <c r="N12" i="1"/>
  <c r="D3" i="1"/>
  <c r="C12" i="1"/>
  <c r="N11" i="1"/>
  <c r="M11" i="1"/>
  <c r="M10" i="1"/>
  <c r="N10" i="1"/>
  <c r="M9" i="1"/>
  <c r="N9" i="1"/>
  <c r="L8" i="1"/>
  <c r="J3" i="1"/>
  <c r="J4" i="1" s="1"/>
  <c r="C53" i="1"/>
  <c r="N69" i="1" l="1"/>
  <c r="M69" i="1"/>
  <c r="M61" i="1"/>
  <c r="N61" i="1"/>
  <c r="E4" i="1"/>
  <c r="D61" i="1"/>
  <c r="D4" i="1" s="1"/>
  <c r="M47" i="1"/>
  <c r="N47" i="1"/>
  <c r="N40" i="1"/>
  <c r="M40" i="1"/>
  <c r="N32" i="1"/>
  <c r="M32" i="1"/>
  <c r="M8" i="1"/>
  <c r="M3" i="1" s="1"/>
  <c r="M4" i="1" s="1"/>
  <c r="N8" i="1"/>
  <c r="N3" i="1" s="1"/>
  <c r="N4" i="1" s="1"/>
  <c r="L3" i="1"/>
  <c r="L4" i="1" s="1"/>
  <c r="C3" i="1"/>
  <c r="C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ADISSA</author>
  </authors>
  <commentList>
    <comment ref="L1" authorId="0" shapeId="0" xr:uid="{95E27C92-DCC0-4FC7-8CE6-614358BFB744}">
      <text>
        <r>
          <rPr>
            <b/>
            <sz val="10"/>
            <color indexed="81"/>
            <rFont val="Tahoma"/>
            <family val="2"/>
          </rPr>
          <t>ADISSA:</t>
        </r>
        <r>
          <rPr>
            <sz val="10"/>
            <color indexed="81"/>
            <rFont val="Tahoma"/>
            <family val="2"/>
          </rPr>
          <t xml:space="preserve">
En considerant uniquement l'offre du 50 M du B2C</t>
        </r>
      </text>
    </comment>
  </commentList>
</comments>
</file>

<file path=xl/sharedStrings.xml><?xml version="1.0" encoding="utf-8"?>
<sst xmlns="http://schemas.openxmlformats.org/spreadsheetml/2006/main" count="135" uniqueCount="68">
  <si>
    <t>SEGMENTS</t>
  </si>
  <si>
    <t>OBJECTIFS</t>
  </si>
  <si>
    <t>OBJECTIF OCTOBRE</t>
  </si>
  <si>
    <t>ONE_SHOT</t>
  </si>
  <si>
    <t>COMMISSION DU MOIS</t>
  </si>
  <si>
    <t>JOUR</t>
  </si>
  <si>
    <t>SEM</t>
  </si>
  <si>
    <t>MOIS</t>
  </si>
  <si>
    <t>B2B</t>
  </si>
  <si>
    <t>B2C</t>
  </si>
  <si>
    <t>TOTAL</t>
  </si>
  <si>
    <t>PART_COMMERCIAL</t>
  </si>
  <si>
    <t>PART_RGZ</t>
  </si>
  <si>
    <t>INTERNE EXISTANT</t>
  </si>
  <si>
    <t>Grand Total</t>
  </si>
  <si>
    <t>YANKEE</t>
  </si>
  <si>
    <t>pms_rgz_tosee.ftth</t>
  </si>
  <si>
    <t>pvt_rgz_mfrancois.ftth</t>
  </si>
  <si>
    <t>pvt_rgz_fadji.ftth</t>
  </si>
  <si>
    <t>pvt_rgz_dcharmelie.ftth</t>
  </si>
  <si>
    <t>pvt_rgz_gkohla.ftth</t>
  </si>
  <si>
    <t>pvt_rgz_rclotoe.ftth</t>
  </si>
  <si>
    <t>pvt_rgz_aconstant.ftth</t>
  </si>
  <si>
    <t>pvt_rgz_cmessinou.ftth</t>
  </si>
  <si>
    <t>pvt_rgz_lsenakpon.ftth</t>
  </si>
  <si>
    <t>pvt_rgz_tletitia.ftth</t>
  </si>
  <si>
    <t>pvt_rgz_dalexis.ftth</t>
  </si>
  <si>
    <t>pvt_rgz_eulisse.ftth</t>
  </si>
  <si>
    <t>pvt_rgz_hgilles.ftth</t>
  </si>
  <si>
    <t>ALPHA</t>
  </si>
  <si>
    <t>pms_rgz_tgloria.ftth</t>
  </si>
  <si>
    <t>pms_rgz_dconstant.ftth</t>
  </si>
  <si>
    <t>pvt_rgz_bboris.ftth</t>
  </si>
  <si>
    <t>TANGO</t>
  </si>
  <si>
    <t>pvt_rgz_dthibaut.ftth</t>
  </si>
  <si>
    <t>pms_rgz_hfrancine.ftth</t>
  </si>
  <si>
    <t>pvt_rgz_wdiane.ftth</t>
  </si>
  <si>
    <t>pvt_rgz_gsahoui.ftth</t>
  </si>
  <si>
    <t>ZULU</t>
  </si>
  <si>
    <t>pvt-rgz-olouis.ftth</t>
  </si>
  <si>
    <t>pvt_rgz_ahugues.ftth</t>
  </si>
  <si>
    <t>pvt_rgz_adidier.ftth</t>
  </si>
  <si>
    <t>CHARLIE</t>
  </si>
  <si>
    <t>pms_rgz_wmarius.ftth</t>
  </si>
  <si>
    <t>pvt_rgz_tsylvia.ftth</t>
  </si>
  <si>
    <t>MIKE</t>
  </si>
  <si>
    <t>pvt_rgz_oalain.ftth</t>
  </si>
  <si>
    <t>pvt_rgz_sulrich.ftth</t>
  </si>
  <si>
    <t>pvt_rgz_hderrick.ftth</t>
  </si>
  <si>
    <t>pms_rgz_kromeo.ftth</t>
  </si>
  <si>
    <t>ANONYMAT</t>
  </si>
  <si>
    <t>pvt_rgz_gprince.ftth</t>
  </si>
  <si>
    <t>pvt_rgz_akoffi.ftth</t>
  </si>
  <si>
    <t>pvt_rgz_agado.ftth</t>
  </si>
  <si>
    <t>pvt_rgz_lcedric.ftth</t>
  </si>
  <si>
    <t xml:space="preserve">CONCORDE </t>
  </si>
  <si>
    <t>pvt_rgz_kbernadin.ftth</t>
  </si>
  <si>
    <t>pms_rgz_cmerveille.ftth</t>
  </si>
  <si>
    <t>pvt_rgz_kadebayo.ftth</t>
  </si>
  <si>
    <t>pms_rgz_abijou.ftth</t>
  </si>
  <si>
    <t>pms_rgz_svictor.ftth</t>
  </si>
  <si>
    <t>BRAVO</t>
  </si>
  <si>
    <t>pvt_rgz_afaoziath.ftth</t>
  </si>
  <si>
    <t>pvt_rgz_lgrace.ftth</t>
  </si>
  <si>
    <t xml:space="preserve">OMEGA </t>
  </si>
  <si>
    <t>pvt_rgz_mvenceslas</t>
  </si>
  <si>
    <t>pvt_rgz_amarcel</t>
  </si>
  <si>
    <t>pvt_rgz_ojeovani.ftth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</si>
</sst>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Bahnschrift Light"/>
      <family val="2"/>
    </font>
    <font>
      <b/>
      <sz val="11"/>
      <name val="Bahnschrift Light"/>
      <family val="2"/>
    </font>
    <font>
      <b/>
      <sz val="11"/>
      <color theme="1"/>
      <name val="Bahnschrift Light"/>
      <family val="2"/>
    </font>
    <font>
      <b/>
      <sz val="11"/>
      <color theme="0"/>
      <name val="Bahnschrift Light"/>
      <family val="2"/>
    </font>
    <font>
      <b/>
      <sz val="11"/>
      <color rgb="FFFF0000"/>
      <name val="Calibri"/>
      <family val="2"/>
      <scheme val="minor"/>
    </font>
    <font>
      <sz val="11"/>
      <color theme="1"/>
      <name val="Bahnschrift Light"/>
      <family val="2"/>
    </font>
    <font>
      <sz val="11"/>
      <color theme="1"/>
      <name val="Candara"/>
      <family val="2"/>
    </font>
    <font>
      <sz val="11"/>
      <name val="Bahnschrift Light"/>
      <family val="2"/>
    </font>
    <font>
      <b/>
      <sz val="11"/>
      <color rgb="FFFF0000"/>
      <name val="Bahnschrift Light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theme="4" tint="-0.249977111117893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justify"/>
    </xf>
    <xf numFmtId="0" fontId="4" fillId="4" borderId="1" xfId="0" applyFont="1" applyFill="1" applyBorder="1" applyAlignment="1">
      <alignment horizontal="centerContinuous" vertical="justify"/>
    </xf>
    <xf numFmtId="0" fontId="4" fillId="3" borderId="1" xfId="0" applyFont="1" applyFill="1" applyBorder="1" applyAlignment="1">
      <alignment horizontal="centerContinuous" vertical="center"/>
    </xf>
    <xf numFmtId="0" fontId="5" fillId="5" borderId="0" xfId="0" applyFont="1" applyFill="1" applyAlignment="1">
      <alignment horizontal="centerContinuous"/>
    </xf>
    <xf numFmtId="0" fontId="3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justify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8" borderId="4" xfId="0" applyFont="1" applyFill="1" applyBorder="1"/>
    <xf numFmtId="0" fontId="3" fillId="8" borderId="1" xfId="0" applyFont="1" applyFill="1" applyBorder="1"/>
    <xf numFmtId="1" fontId="6" fillId="9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/>
    <xf numFmtId="0" fontId="4" fillId="3" borderId="1" xfId="0" applyFont="1" applyFill="1" applyBorder="1"/>
    <xf numFmtId="1" fontId="4" fillId="3" borderId="1" xfId="0" applyNumberFormat="1" applyFont="1" applyFill="1" applyBorder="1"/>
    <xf numFmtId="0" fontId="7" fillId="0" borderId="0" xfId="0" applyFont="1"/>
    <xf numFmtId="0" fontId="2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0" xfId="0" applyFont="1"/>
    <xf numFmtId="0" fontId="5" fillId="10" borderId="5" xfId="0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/>
    </xf>
    <xf numFmtId="1" fontId="4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/>
    <xf numFmtId="41" fontId="8" fillId="10" borderId="1" xfId="1" applyFont="1" applyFill="1" applyBorder="1" applyAlignment="1">
      <alignment horizontal="right"/>
    </xf>
    <xf numFmtId="41" fontId="8" fillId="10" borderId="1" xfId="1" applyFont="1" applyFill="1" applyBorder="1" applyAlignment="1"/>
    <xf numFmtId="0" fontId="9" fillId="0" borderId="1" xfId="0" applyFont="1" applyBorder="1" applyAlignment="1">
      <alignment horizontal="left" indent="1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/>
    <xf numFmtId="1" fontId="8" fillId="0" borderId="1" xfId="0" applyNumberFormat="1" applyFont="1" applyBorder="1" applyAlignment="1">
      <alignment horizontal="right"/>
    </xf>
    <xf numFmtId="41" fontId="8" fillId="0" borderId="1" xfId="1" applyFont="1" applyFill="1" applyBorder="1" applyAlignment="1"/>
    <xf numFmtId="0" fontId="9" fillId="11" borderId="1" xfId="0" applyFont="1" applyFill="1" applyBorder="1" applyAlignment="1">
      <alignment horizontal="left" indent="1"/>
    </xf>
    <xf numFmtId="0" fontId="7" fillId="9" borderId="1" xfId="0" applyFont="1" applyFill="1" applyBorder="1"/>
    <xf numFmtId="0" fontId="0" fillId="11" borderId="1" xfId="0" applyFill="1" applyBorder="1"/>
    <xf numFmtId="0" fontId="5" fillId="10" borderId="1" xfId="0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/>
    </xf>
    <xf numFmtId="1" fontId="10" fillId="10" borderId="1" xfId="0" applyNumberFormat="1" applyFont="1" applyFill="1" applyBorder="1" applyAlignment="1">
      <alignment horizontal="center"/>
    </xf>
    <xf numFmtId="1" fontId="8" fillId="0" borderId="6" xfId="0" applyNumberFormat="1" applyFont="1" applyBorder="1"/>
    <xf numFmtId="1" fontId="8" fillId="0" borderId="6" xfId="0" applyNumberFormat="1" applyFont="1" applyBorder="1" applyAlignment="1">
      <alignment horizontal="right"/>
    </xf>
    <xf numFmtId="41" fontId="8" fillId="0" borderId="6" xfId="1" applyFont="1" applyFill="1" applyBorder="1" applyAlignment="1"/>
    <xf numFmtId="0" fontId="5" fillId="10" borderId="7" xfId="0" applyFont="1" applyFill="1" applyBorder="1" applyAlignment="1">
      <alignment horizontal="center"/>
    </xf>
    <xf numFmtId="1" fontId="8" fillId="10" borderId="6" xfId="0" applyNumberFormat="1" applyFont="1" applyFill="1" applyBorder="1" applyAlignment="1">
      <alignment horizontal="center"/>
    </xf>
    <xf numFmtId="1" fontId="10" fillId="10" borderId="6" xfId="0" applyNumberFormat="1" applyFont="1" applyFill="1" applyBorder="1" applyAlignment="1">
      <alignment horizontal="center"/>
    </xf>
    <xf numFmtId="1" fontId="8" fillId="10" borderId="6" xfId="0" applyNumberFormat="1" applyFont="1" applyFill="1" applyBorder="1"/>
    <xf numFmtId="41" fontId="8" fillId="10" borderId="6" xfId="1" applyFont="1" applyFill="1" applyBorder="1" applyAlignment="1">
      <alignment horizontal="right"/>
    </xf>
    <xf numFmtId="1" fontId="8" fillId="0" borderId="6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/>
    <xf numFmtId="0" fontId="9" fillId="12" borderId="1" xfId="0" applyFont="1" applyFill="1" applyBorder="1" applyAlignment="1">
      <alignment horizontal="left" indent="1"/>
    </xf>
    <xf numFmtId="1" fontId="11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/>
    </xf>
    <xf numFmtId="1" fontId="10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/>
    <xf numFmtId="41" fontId="8" fillId="12" borderId="1" xfId="1" applyFont="1" applyFill="1" applyBorder="1" applyAlignment="1"/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8" borderId="11" xfId="0" applyFont="1" applyFill="1" applyBorder="1"/>
    <xf numFmtId="0" fontId="5" fillId="8" borderId="9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1" fontId="5" fillId="8" borderId="1" xfId="0" applyNumberFormat="1" applyFont="1" applyFill="1" applyBorder="1"/>
    <xf numFmtId="41" fontId="5" fillId="8" borderId="1" xfId="1" applyFont="1" applyFill="1" applyBorder="1" applyAlignment="1"/>
    <xf numFmtId="41" fontId="5" fillId="8" borderId="1" xfId="0" applyNumberFormat="1" applyFont="1" applyFill="1" applyBorder="1" applyAlignment="1">
      <alignment vertical="center"/>
    </xf>
    <xf numFmtId="0" fontId="5" fillId="0" borderId="0" xfId="0" applyFont="1"/>
    <xf numFmtId="0" fontId="9" fillId="0" borderId="5" xfId="0" applyFont="1" applyBorder="1" applyAlignment="1">
      <alignment horizontal="left" indent="1"/>
    </xf>
    <xf numFmtId="1" fontId="10" fillId="0" borderId="1" xfId="0" applyNumberFormat="1" applyFont="1" applyBorder="1" applyAlignment="1">
      <alignment horizontal="center"/>
    </xf>
    <xf numFmtId="41" fontId="8" fillId="0" borderId="1" xfId="0" applyNumberFormat="1" applyFont="1" applyBorder="1" applyAlignment="1">
      <alignment vertical="center"/>
    </xf>
    <xf numFmtId="0" fontId="5" fillId="8" borderId="2" xfId="0" applyFont="1" applyFill="1" applyBorder="1"/>
    <xf numFmtId="1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vertical="center"/>
    </xf>
    <xf numFmtId="0" fontId="8" fillId="0" borderId="1" xfId="0" applyFont="1" applyBorder="1"/>
    <xf numFmtId="1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/>
    <xf numFmtId="0" fontId="0" fillId="0" borderId="3" xfId="0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E842-4FA0-4B9D-BBFC-2EE5E1F0E5ED}">
  <sheetPr>
    <tabColor rgb="FFFF0000"/>
  </sheetPr>
  <dimension ref="A1:N87"/>
  <sheetViews>
    <sheetView tabSelected="1" zoomScale="80" zoomScaleNormal="80" workbookViewId="0">
      <pane ySplit="1" topLeftCell="A2" activePane="bottomLeft" state="frozen"/>
      <selection activeCell="O25" sqref="O25"/>
      <selection pane="bottomLeft" activeCell="T26" sqref="T26"/>
    </sheetView>
  </sheetViews>
  <sheetFormatPr defaultColWidth="10.6640625" defaultRowHeight="14.25" x14ac:dyDescent="0.45"/>
  <cols>
    <col min="1" max="1" width="21.86328125" customWidth="1"/>
    <col min="2" max="2" width="23.86328125" bestFit="1" customWidth="1"/>
    <col min="3" max="3" width="5.6640625" style="21" bestFit="1" customWidth="1"/>
    <col min="4" max="4" width="5" bestFit="1" customWidth="1"/>
    <col min="5" max="5" width="5.6640625" bestFit="1" customWidth="1"/>
    <col min="6" max="6" width="5.53125" bestFit="1" customWidth="1"/>
    <col min="7" max="7" width="6" bestFit="1" customWidth="1"/>
    <col min="9" max="9" width="0" hidden="1" customWidth="1"/>
    <col min="10" max="10" width="10" hidden="1" customWidth="1"/>
    <col min="11" max="11" width="10.796875" hidden="1" customWidth="1"/>
    <col min="12" max="12" width="12.86328125" hidden="1" customWidth="1"/>
    <col min="13" max="13" width="22.6640625" hidden="1" customWidth="1"/>
    <col min="14" max="14" width="13" hidden="1" customWidth="1"/>
  </cols>
  <sheetData>
    <row r="1" spans="1:14" x14ac:dyDescent="0.4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J1" s="4" t="s">
        <v>3</v>
      </c>
      <c r="K1" s="5"/>
      <c r="L1" s="6"/>
      <c r="M1" s="7" t="s">
        <v>4</v>
      </c>
      <c r="N1" s="7"/>
    </row>
    <row r="2" spans="1:14" x14ac:dyDescent="0.45">
      <c r="A2" s="8"/>
      <c r="B2" s="1"/>
      <c r="C2" s="9" t="s">
        <v>5</v>
      </c>
      <c r="D2" s="1" t="s">
        <v>6</v>
      </c>
      <c r="E2" s="1" t="s">
        <v>7</v>
      </c>
      <c r="F2" s="10" t="s">
        <v>8</v>
      </c>
      <c r="G2" s="10" t="s">
        <v>9</v>
      </c>
      <c r="J2" s="11" t="s">
        <v>8</v>
      </c>
      <c r="K2" s="11" t="s">
        <v>9</v>
      </c>
      <c r="L2" s="12" t="s">
        <v>10</v>
      </c>
      <c r="M2" s="13" t="s">
        <v>11</v>
      </c>
      <c r="N2" s="13" t="s">
        <v>12</v>
      </c>
    </row>
    <row r="3" spans="1:14" x14ac:dyDescent="0.45">
      <c r="A3" s="14" t="s">
        <v>13</v>
      </c>
      <c r="B3" s="15"/>
      <c r="C3" s="16">
        <f>SUM(C8,C25,C32,C40,C47,C53)</f>
        <v>49</v>
      </c>
      <c r="D3" s="17">
        <f>SUM(D8:D53)</f>
        <v>457.5</v>
      </c>
      <c r="E3" s="17">
        <f>SUM(F3:G3)</f>
        <v>980</v>
      </c>
      <c r="F3" s="17">
        <f>SUM(F8,F25,F32,F40,F47,F53)</f>
        <v>130</v>
      </c>
      <c r="G3" s="17">
        <f>SUM(G8,G25,G32,G40,G47,G53)</f>
        <v>850</v>
      </c>
      <c r="J3" s="18">
        <f>SUM(J8,J25,J32,J40,J47,J53)</f>
        <v>1560000</v>
      </c>
      <c r="K3" s="18">
        <f>SUM(K8,K25,K32,K40,K47,K53)</f>
        <v>8500000</v>
      </c>
      <c r="L3" s="18">
        <f>SUM(L8,L25,L32,L40,L47,L53)</f>
        <v>10060000</v>
      </c>
      <c r="M3" s="18">
        <f>SUM(M8,M25,M32,M40,M47,M53)</f>
        <v>8048000</v>
      </c>
      <c r="N3" s="18">
        <f>SUM(N8,N25,N32,N40,N47,N53)</f>
        <v>2012000</v>
      </c>
    </row>
    <row r="4" spans="1:14" x14ac:dyDescent="0.45">
      <c r="A4" s="19" t="s">
        <v>14</v>
      </c>
      <c r="B4" s="19" t="s">
        <v>14</v>
      </c>
      <c r="C4" s="16">
        <f>SUM(C3,C61,C69,C78,C84)</f>
        <v>74.349999999999994</v>
      </c>
      <c r="D4" s="20">
        <f>SUM(D3,D61,D69,D78,D84)</f>
        <v>584.25</v>
      </c>
      <c r="E4" s="20">
        <f>SUM(E3,E61,E69,E78,E84)</f>
        <v>1487</v>
      </c>
      <c r="F4" s="20">
        <f>SUM(F3,F61,F69,F78,F84)</f>
        <v>240</v>
      </c>
      <c r="G4" s="20">
        <f>SUM(G3,G61,G69,G78,G84)</f>
        <v>1247</v>
      </c>
      <c r="J4" s="20">
        <f>SUM(J3,J61,J69,J78,J84)</f>
        <v>2880000</v>
      </c>
      <c r="K4" s="20">
        <f>SUM(K3,K61,K69,K78,K84)</f>
        <v>12470000</v>
      </c>
      <c r="L4" s="20">
        <f>SUM(L3,L61,L69,L78,L84)</f>
        <v>15350000</v>
      </c>
      <c r="M4" s="20">
        <f>SUM(M3,M61,M69,M78,M84)</f>
        <v>12568000</v>
      </c>
      <c r="N4" s="20">
        <f>SUM(N3,N61,N69,N78,N84)</f>
        <v>2782000</v>
      </c>
    </row>
    <row r="5" spans="1:14" x14ac:dyDescent="0.45">
      <c r="J5" s="18"/>
      <c r="K5" s="18"/>
      <c r="L5" s="18"/>
      <c r="M5" s="18"/>
      <c r="N5" s="18"/>
    </row>
    <row r="6" spans="1:14" x14ac:dyDescent="0.45">
      <c r="B6" s="22"/>
      <c r="C6" s="23" t="s">
        <v>2</v>
      </c>
      <c r="D6" s="24"/>
      <c r="E6" s="24"/>
      <c r="F6" s="24"/>
      <c r="G6" s="24"/>
      <c r="J6" s="18"/>
      <c r="K6" s="18"/>
      <c r="L6" s="18"/>
      <c r="M6" s="18"/>
      <c r="N6" s="18"/>
    </row>
    <row r="7" spans="1:14" x14ac:dyDescent="0.45">
      <c r="B7" s="22"/>
      <c r="C7" s="9" t="s">
        <v>5</v>
      </c>
      <c r="D7" s="9" t="s">
        <v>6</v>
      </c>
      <c r="E7" s="9" t="s">
        <v>7</v>
      </c>
      <c r="F7" s="10" t="s">
        <v>8</v>
      </c>
      <c r="G7" s="10" t="s">
        <v>9</v>
      </c>
      <c r="J7" s="18"/>
      <c r="K7" s="18"/>
      <c r="L7" s="18"/>
      <c r="M7" s="18"/>
      <c r="N7" s="18"/>
    </row>
    <row r="8" spans="1:14" x14ac:dyDescent="0.45">
      <c r="A8" s="25"/>
      <c r="B8" s="26" t="s">
        <v>15</v>
      </c>
      <c r="C8" s="27">
        <f t="shared" ref="C8:C20" si="0">D8/5</f>
        <v>17</v>
      </c>
      <c r="D8" s="28">
        <f t="shared" ref="D8:D20" si="1">E8/4</f>
        <v>85</v>
      </c>
      <c r="E8" s="29">
        <f t="shared" ref="E8:E20" si="2">SUM(F8:G8)</f>
        <v>340</v>
      </c>
      <c r="F8" s="28">
        <f>SUM(F9:F20)</f>
        <v>50</v>
      </c>
      <c r="G8" s="28">
        <f>SUM(G9:G20)</f>
        <v>290</v>
      </c>
      <c r="J8" s="30">
        <f t="shared" ref="J8:J20" si="3">12000*F8</f>
        <v>600000</v>
      </c>
      <c r="K8" s="30">
        <f t="shared" ref="K8:K20" si="4">10000*G8</f>
        <v>2900000</v>
      </c>
      <c r="L8" s="31">
        <f t="shared" ref="L8:L20" si="5">SUM(J8:K8)</f>
        <v>3500000</v>
      </c>
      <c r="M8" s="32">
        <f t="shared" ref="M8:M20" si="6">L8*0.8</f>
        <v>2800000</v>
      </c>
      <c r="N8" s="32">
        <f t="shared" ref="N8:N20" si="7">L8*0.2</f>
        <v>700000</v>
      </c>
    </row>
    <row r="9" spans="1:14" x14ac:dyDescent="0.45">
      <c r="B9" s="33" t="s">
        <v>16</v>
      </c>
      <c r="C9" s="27">
        <f t="shared" si="0"/>
        <v>2.2000000000000002</v>
      </c>
      <c r="D9" s="34">
        <f t="shared" si="1"/>
        <v>11</v>
      </c>
      <c r="E9" s="35">
        <f t="shared" si="2"/>
        <v>44</v>
      </c>
      <c r="F9" s="35">
        <v>14</v>
      </c>
      <c r="G9" s="35">
        <v>30</v>
      </c>
      <c r="J9" s="36">
        <f t="shared" si="3"/>
        <v>168000</v>
      </c>
      <c r="K9" s="36">
        <f t="shared" si="4"/>
        <v>300000</v>
      </c>
      <c r="L9" s="37">
        <f t="shared" si="5"/>
        <v>468000</v>
      </c>
      <c r="M9" s="38">
        <f t="shared" si="6"/>
        <v>374400</v>
      </c>
      <c r="N9" s="38">
        <f t="shared" si="7"/>
        <v>93600</v>
      </c>
    </row>
    <row r="10" spans="1:14" x14ac:dyDescent="0.45">
      <c r="B10" s="33" t="s">
        <v>17</v>
      </c>
      <c r="C10" s="27">
        <f t="shared" si="0"/>
        <v>1.75</v>
      </c>
      <c r="D10" s="34">
        <f t="shared" si="1"/>
        <v>8.75</v>
      </c>
      <c r="E10" s="35">
        <f t="shared" si="2"/>
        <v>35</v>
      </c>
      <c r="F10" s="35">
        <v>5</v>
      </c>
      <c r="G10" s="35">
        <v>30</v>
      </c>
      <c r="J10" s="36">
        <f t="shared" si="3"/>
        <v>60000</v>
      </c>
      <c r="K10" s="36">
        <f t="shared" si="4"/>
        <v>300000</v>
      </c>
      <c r="L10" s="37">
        <f t="shared" si="5"/>
        <v>360000</v>
      </c>
      <c r="M10" s="38">
        <f t="shared" si="6"/>
        <v>288000</v>
      </c>
      <c r="N10" s="38">
        <f t="shared" si="7"/>
        <v>72000</v>
      </c>
    </row>
    <row r="11" spans="1:14" x14ac:dyDescent="0.45">
      <c r="B11" s="33" t="s">
        <v>18</v>
      </c>
      <c r="C11" s="27">
        <f t="shared" si="0"/>
        <v>1.7</v>
      </c>
      <c r="D11" s="34">
        <f t="shared" si="1"/>
        <v>8.5</v>
      </c>
      <c r="E11" s="35">
        <f t="shared" si="2"/>
        <v>34</v>
      </c>
      <c r="F11" s="35">
        <v>4</v>
      </c>
      <c r="G11" s="35">
        <v>30</v>
      </c>
      <c r="J11" s="36">
        <f t="shared" si="3"/>
        <v>48000</v>
      </c>
      <c r="K11" s="36">
        <f t="shared" si="4"/>
        <v>300000</v>
      </c>
      <c r="L11" s="37">
        <f t="shared" si="5"/>
        <v>348000</v>
      </c>
      <c r="M11" s="38">
        <f t="shared" si="6"/>
        <v>278400</v>
      </c>
      <c r="N11" s="38">
        <f t="shared" si="7"/>
        <v>69600</v>
      </c>
    </row>
    <row r="12" spans="1:14" x14ac:dyDescent="0.45">
      <c r="B12" s="33" t="s">
        <v>19</v>
      </c>
      <c r="C12" s="27">
        <f t="shared" si="0"/>
        <v>1.4</v>
      </c>
      <c r="D12" s="34">
        <f t="shared" si="1"/>
        <v>7</v>
      </c>
      <c r="E12" s="35">
        <f t="shared" si="2"/>
        <v>28</v>
      </c>
      <c r="F12" s="35">
        <v>3</v>
      </c>
      <c r="G12" s="35">
        <v>25</v>
      </c>
      <c r="J12" s="36">
        <f t="shared" si="3"/>
        <v>36000</v>
      </c>
      <c r="K12" s="36">
        <f t="shared" si="4"/>
        <v>250000</v>
      </c>
      <c r="L12" s="37">
        <f t="shared" si="5"/>
        <v>286000</v>
      </c>
      <c r="M12" s="38">
        <f t="shared" si="6"/>
        <v>228800</v>
      </c>
      <c r="N12" s="38">
        <f t="shared" si="7"/>
        <v>57200</v>
      </c>
    </row>
    <row r="13" spans="1:14" x14ac:dyDescent="0.45">
      <c r="B13" s="33" t="s">
        <v>20</v>
      </c>
      <c r="C13" s="27">
        <f t="shared" si="0"/>
        <v>1.8</v>
      </c>
      <c r="D13" s="34">
        <f t="shared" si="1"/>
        <v>9</v>
      </c>
      <c r="E13" s="35">
        <f t="shared" si="2"/>
        <v>36</v>
      </c>
      <c r="F13" s="35">
        <v>6</v>
      </c>
      <c r="G13" s="35">
        <v>30</v>
      </c>
      <c r="J13" s="36">
        <f t="shared" si="3"/>
        <v>72000</v>
      </c>
      <c r="K13" s="36">
        <f t="shared" si="4"/>
        <v>300000</v>
      </c>
      <c r="L13" s="37">
        <f t="shared" si="5"/>
        <v>372000</v>
      </c>
      <c r="M13" s="38">
        <f t="shared" si="6"/>
        <v>297600</v>
      </c>
      <c r="N13" s="38">
        <f t="shared" si="7"/>
        <v>74400</v>
      </c>
    </row>
    <row r="14" spans="1:14" x14ac:dyDescent="0.45">
      <c r="B14" s="33" t="s">
        <v>21</v>
      </c>
      <c r="C14" s="27">
        <f t="shared" si="0"/>
        <v>1.5</v>
      </c>
      <c r="D14" s="34">
        <f t="shared" si="1"/>
        <v>7.5</v>
      </c>
      <c r="E14" s="35">
        <f t="shared" si="2"/>
        <v>30</v>
      </c>
      <c r="F14" s="35">
        <v>5</v>
      </c>
      <c r="G14" s="35">
        <v>25</v>
      </c>
      <c r="J14" s="36">
        <f t="shared" si="3"/>
        <v>60000</v>
      </c>
      <c r="K14" s="36">
        <f t="shared" si="4"/>
        <v>250000</v>
      </c>
      <c r="L14" s="37">
        <f t="shared" si="5"/>
        <v>310000</v>
      </c>
      <c r="M14" s="38">
        <f t="shared" si="6"/>
        <v>248000</v>
      </c>
      <c r="N14" s="38">
        <f t="shared" si="7"/>
        <v>62000</v>
      </c>
    </row>
    <row r="15" spans="1:14" x14ac:dyDescent="0.45">
      <c r="B15" s="33" t="s">
        <v>22</v>
      </c>
      <c r="C15" s="27">
        <f t="shared" si="0"/>
        <v>1.25</v>
      </c>
      <c r="D15" s="34">
        <f t="shared" si="1"/>
        <v>6.25</v>
      </c>
      <c r="E15" s="35">
        <f t="shared" si="2"/>
        <v>25</v>
      </c>
      <c r="F15" s="35">
        <v>5</v>
      </c>
      <c r="G15" s="35">
        <v>20</v>
      </c>
      <c r="J15" s="36">
        <f t="shared" si="3"/>
        <v>60000</v>
      </c>
      <c r="K15" s="36">
        <f t="shared" si="4"/>
        <v>200000</v>
      </c>
      <c r="L15" s="37">
        <f t="shared" si="5"/>
        <v>260000</v>
      </c>
      <c r="M15" s="38">
        <f t="shared" si="6"/>
        <v>208000</v>
      </c>
      <c r="N15" s="38">
        <f t="shared" si="7"/>
        <v>52000</v>
      </c>
    </row>
    <row r="16" spans="1:14" x14ac:dyDescent="0.45">
      <c r="B16" s="33" t="s">
        <v>23</v>
      </c>
      <c r="C16" s="27">
        <f t="shared" si="0"/>
        <v>1.1499999999999999</v>
      </c>
      <c r="D16" s="34">
        <f t="shared" si="1"/>
        <v>5.75</v>
      </c>
      <c r="E16" s="35">
        <f t="shared" si="2"/>
        <v>23</v>
      </c>
      <c r="F16" s="35">
        <v>3</v>
      </c>
      <c r="G16" s="35">
        <v>20</v>
      </c>
      <c r="J16" s="36">
        <f t="shared" si="3"/>
        <v>36000</v>
      </c>
      <c r="K16" s="36">
        <f t="shared" si="4"/>
        <v>200000</v>
      </c>
      <c r="L16" s="37">
        <f t="shared" si="5"/>
        <v>236000</v>
      </c>
      <c r="M16" s="38">
        <f t="shared" si="6"/>
        <v>188800</v>
      </c>
      <c r="N16" s="38">
        <f t="shared" si="7"/>
        <v>47200</v>
      </c>
    </row>
    <row r="17" spans="1:14" x14ac:dyDescent="0.45">
      <c r="B17" s="33" t="s">
        <v>24</v>
      </c>
      <c r="C17" s="27">
        <f t="shared" si="0"/>
        <v>2</v>
      </c>
      <c r="D17" s="34">
        <f t="shared" si="1"/>
        <v>10</v>
      </c>
      <c r="E17" s="35">
        <f t="shared" si="2"/>
        <v>40</v>
      </c>
      <c r="F17" s="35">
        <v>5</v>
      </c>
      <c r="G17" s="35">
        <v>35</v>
      </c>
      <c r="J17" s="36">
        <f t="shared" si="3"/>
        <v>60000</v>
      </c>
      <c r="K17" s="36">
        <f t="shared" si="4"/>
        <v>350000</v>
      </c>
      <c r="L17" s="37">
        <f t="shared" si="5"/>
        <v>410000</v>
      </c>
      <c r="M17" s="38">
        <f t="shared" si="6"/>
        <v>328000</v>
      </c>
      <c r="N17" s="38">
        <f t="shared" si="7"/>
        <v>82000</v>
      </c>
    </row>
    <row r="18" spans="1:14" x14ac:dyDescent="0.45">
      <c r="B18" s="33" t="s">
        <v>25</v>
      </c>
      <c r="C18" s="27">
        <f t="shared" si="0"/>
        <v>1</v>
      </c>
      <c r="D18" s="34">
        <f t="shared" si="1"/>
        <v>5</v>
      </c>
      <c r="E18" s="35">
        <f t="shared" si="2"/>
        <v>20</v>
      </c>
      <c r="F18" s="35">
        <v>0</v>
      </c>
      <c r="G18" s="35">
        <v>20</v>
      </c>
      <c r="J18" s="36">
        <f t="shared" si="3"/>
        <v>0</v>
      </c>
      <c r="K18" s="36">
        <f t="shared" si="4"/>
        <v>200000</v>
      </c>
      <c r="L18" s="37">
        <f t="shared" si="5"/>
        <v>200000</v>
      </c>
      <c r="M18" s="38">
        <f t="shared" si="6"/>
        <v>160000</v>
      </c>
      <c r="N18" s="38">
        <f t="shared" si="7"/>
        <v>40000</v>
      </c>
    </row>
    <row r="19" spans="1:14" x14ac:dyDescent="0.45">
      <c r="B19" s="33" t="s">
        <v>26</v>
      </c>
      <c r="C19" s="27">
        <f t="shared" si="0"/>
        <v>0.75</v>
      </c>
      <c r="D19" s="34">
        <f t="shared" si="1"/>
        <v>3.75</v>
      </c>
      <c r="E19" s="35">
        <f t="shared" si="2"/>
        <v>15</v>
      </c>
      <c r="F19" s="35">
        <v>0</v>
      </c>
      <c r="G19" s="35">
        <v>15</v>
      </c>
      <c r="J19" s="36">
        <f t="shared" si="3"/>
        <v>0</v>
      </c>
      <c r="K19" s="36">
        <f t="shared" si="4"/>
        <v>150000</v>
      </c>
      <c r="L19" s="37">
        <f t="shared" si="5"/>
        <v>150000</v>
      </c>
      <c r="M19" s="38">
        <f t="shared" si="6"/>
        <v>120000</v>
      </c>
      <c r="N19" s="38">
        <f t="shared" si="7"/>
        <v>30000</v>
      </c>
    </row>
    <row r="20" spans="1:14" x14ac:dyDescent="0.45">
      <c r="B20" s="33" t="s">
        <v>27</v>
      </c>
      <c r="C20" s="27">
        <f t="shared" si="0"/>
        <v>0.5</v>
      </c>
      <c r="D20" s="34">
        <f t="shared" si="1"/>
        <v>2.5</v>
      </c>
      <c r="E20" s="35">
        <f t="shared" si="2"/>
        <v>10</v>
      </c>
      <c r="F20" s="35">
        <v>0</v>
      </c>
      <c r="G20" s="35">
        <v>10</v>
      </c>
      <c r="J20" s="36">
        <f t="shared" si="3"/>
        <v>0</v>
      </c>
      <c r="K20" s="36">
        <f t="shared" si="4"/>
        <v>100000</v>
      </c>
      <c r="L20" s="37">
        <f t="shared" si="5"/>
        <v>100000</v>
      </c>
      <c r="M20" s="38">
        <f t="shared" si="6"/>
        <v>80000</v>
      </c>
      <c r="N20" s="38">
        <f t="shared" si="7"/>
        <v>20000</v>
      </c>
    </row>
    <row r="21" spans="1:14" x14ac:dyDescent="0.45">
      <c r="B21" s="39" t="s">
        <v>28</v>
      </c>
      <c r="C21" s="40"/>
      <c r="D21" s="41"/>
      <c r="E21" s="41"/>
      <c r="F21" s="41"/>
      <c r="G21" s="41"/>
      <c r="J21" s="41"/>
      <c r="K21" s="41"/>
      <c r="L21" s="41"/>
      <c r="M21" s="41"/>
      <c r="N21" s="41"/>
    </row>
    <row r="22" spans="1:14" x14ac:dyDescent="0.45">
      <c r="C22"/>
      <c r="J22" s="41"/>
      <c r="K22" s="41"/>
      <c r="L22" s="41"/>
      <c r="M22" s="41"/>
      <c r="N22" s="41"/>
    </row>
    <row r="23" spans="1:14" x14ac:dyDescent="0.45">
      <c r="B23" s="22"/>
      <c r="C23" s="23" t="s">
        <v>2</v>
      </c>
      <c r="D23" s="24"/>
      <c r="E23" s="24"/>
      <c r="F23" s="24"/>
      <c r="G23" s="24"/>
      <c r="J23" s="41"/>
      <c r="K23" s="41"/>
      <c r="L23" s="41"/>
      <c r="M23" s="41"/>
      <c r="N23" s="41"/>
    </row>
    <row r="24" spans="1:14" x14ac:dyDescent="0.45">
      <c r="B24" s="22"/>
      <c r="C24" s="27" t="s">
        <v>5</v>
      </c>
      <c r="D24" s="9" t="s">
        <v>6</v>
      </c>
      <c r="E24" s="9" t="s">
        <v>7</v>
      </c>
      <c r="F24" s="10" t="s">
        <v>8</v>
      </c>
      <c r="G24" s="10" t="s">
        <v>9</v>
      </c>
      <c r="J24" s="41"/>
      <c r="K24" s="41"/>
      <c r="L24" s="41"/>
      <c r="M24" s="41"/>
      <c r="N24" s="41"/>
    </row>
    <row r="25" spans="1:14" x14ac:dyDescent="0.45">
      <c r="A25" s="25"/>
      <c r="B25" s="42" t="s">
        <v>29</v>
      </c>
      <c r="C25" s="27">
        <f>SUM(C26:C28)</f>
        <v>5</v>
      </c>
      <c r="D25" s="43">
        <f>E25/4</f>
        <v>25</v>
      </c>
      <c r="E25" s="44">
        <f>SUM(F25:G25)</f>
        <v>100</v>
      </c>
      <c r="F25" s="43">
        <f>SUM(F26:F28)</f>
        <v>30</v>
      </c>
      <c r="G25" s="43">
        <f>SUM(G26:G28)</f>
        <v>70</v>
      </c>
      <c r="J25" s="30">
        <f>12000*F25</f>
        <v>360000</v>
      </c>
      <c r="K25" s="30">
        <f>10000*G25</f>
        <v>700000</v>
      </c>
      <c r="L25" s="32">
        <f>SUM(J25:K25)</f>
        <v>1060000</v>
      </c>
      <c r="M25" s="32">
        <f>L25*0.8</f>
        <v>848000</v>
      </c>
      <c r="N25" s="32">
        <f>L25*0.2</f>
        <v>212000</v>
      </c>
    </row>
    <row r="26" spans="1:14" x14ac:dyDescent="0.45">
      <c r="A26" s="25"/>
      <c r="B26" s="33" t="s">
        <v>30</v>
      </c>
      <c r="C26" s="27">
        <f>D26/5</f>
        <v>2.65</v>
      </c>
      <c r="D26" s="34">
        <f>E26/4</f>
        <v>13.25</v>
      </c>
      <c r="E26" s="35">
        <f>SUM(F26:G26)</f>
        <v>53</v>
      </c>
      <c r="F26" s="34">
        <v>24</v>
      </c>
      <c r="G26" s="34">
        <v>29</v>
      </c>
      <c r="J26" s="36">
        <f>12000*F26</f>
        <v>288000</v>
      </c>
      <c r="K26" s="36">
        <f>10000*G26</f>
        <v>290000</v>
      </c>
      <c r="L26" s="37">
        <f>SUM(J26:K26)</f>
        <v>578000</v>
      </c>
      <c r="M26" s="38">
        <f>L26*0.8</f>
        <v>462400</v>
      </c>
      <c r="N26" s="38">
        <f>L26*0.2</f>
        <v>115600</v>
      </c>
    </row>
    <row r="27" spans="1:14" x14ac:dyDescent="0.45">
      <c r="A27" s="25"/>
      <c r="B27" s="33" t="s">
        <v>31</v>
      </c>
      <c r="C27" s="27">
        <f>D27/5</f>
        <v>1.45</v>
      </c>
      <c r="D27" s="34">
        <f>E27/4</f>
        <v>7.25</v>
      </c>
      <c r="E27" s="35">
        <f>SUM(F27:G27)</f>
        <v>29</v>
      </c>
      <c r="F27" s="34">
        <v>4</v>
      </c>
      <c r="G27" s="34">
        <v>25</v>
      </c>
      <c r="J27" s="36">
        <f>12000*F27</f>
        <v>48000</v>
      </c>
      <c r="K27" s="36">
        <f>10000*G27</f>
        <v>250000</v>
      </c>
      <c r="L27" s="37">
        <f>SUM(J27:K27)</f>
        <v>298000</v>
      </c>
      <c r="M27" s="38">
        <f>L27*0.8</f>
        <v>238400</v>
      </c>
      <c r="N27" s="38">
        <f>L27*0.2</f>
        <v>59600</v>
      </c>
    </row>
    <row r="28" spans="1:14" x14ac:dyDescent="0.45">
      <c r="A28" s="25"/>
      <c r="B28" s="33" t="s">
        <v>32</v>
      </c>
      <c r="C28" s="27">
        <f>D28/5</f>
        <v>0.9</v>
      </c>
      <c r="D28" s="34">
        <f>E28/4</f>
        <v>4.5</v>
      </c>
      <c r="E28" s="35">
        <f>SUM(F28:G28)</f>
        <v>18</v>
      </c>
      <c r="F28" s="34">
        <v>2</v>
      </c>
      <c r="G28" s="34">
        <v>16</v>
      </c>
      <c r="J28" s="36">
        <f>12000*F28</f>
        <v>24000</v>
      </c>
      <c r="K28" s="36">
        <f>10000*G28</f>
        <v>160000</v>
      </c>
      <c r="L28" s="37">
        <f>SUM(J28:K28)</f>
        <v>184000</v>
      </c>
      <c r="M28" s="38">
        <f>L28*0.8</f>
        <v>147200</v>
      </c>
      <c r="N28" s="38">
        <f>L28*0.2</f>
        <v>36800</v>
      </c>
    </row>
    <row r="29" spans="1:14" x14ac:dyDescent="0.45">
      <c r="C29"/>
      <c r="J29" s="41"/>
      <c r="K29" s="41"/>
      <c r="L29" s="41"/>
      <c r="M29" s="41"/>
      <c r="N29" s="41"/>
    </row>
    <row r="30" spans="1:14" x14ac:dyDescent="0.45">
      <c r="A30" s="25"/>
      <c r="B30" s="22"/>
      <c r="C30" s="23" t="s">
        <v>2</v>
      </c>
      <c r="D30" s="24"/>
      <c r="E30" s="24"/>
      <c r="F30" s="24"/>
      <c r="G30" s="24"/>
      <c r="J30" s="45"/>
      <c r="K30" s="45"/>
      <c r="L30" s="46"/>
      <c r="M30" s="47"/>
      <c r="N30" s="47"/>
    </row>
    <row r="31" spans="1:14" x14ac:dyDescent="0.45">
      <c r="A31" s="25"/>
      <c r="B31" s="22"/>
      <c r="C31" s="27" t="s">
        <v>5</v>
      </c>
      <c r="D31" s="9" t="s">
        <v>6</v>
      </c>
      <c r="E31" s="9" t="s">
        <v>7</v>
      </c>
      <c r="F31" s="10" t="s">
        <v>8</v>
      </c>
      <c r="G31" s="10" t="s">
        <v>9</v>
      </c>
      <c r="J31" s="45"/>
      <c r="K31" s="45"/>
      <c r="L31" s="46"/>
      <c r="M31" s="47"/>
      <c r="N31" s="47"/>
    </row>
    <row r="32" spans="1:14" x14ac:dyDescent="0.45">
      <c r="A32" s="25"/>
      <c r="B32" s="48" t="s">
        <v>33</v>
      </c>
      <c r="C32" s="27">
        <f>SUM(C33:C36)</f>
        <v>10.499999999999998</v>
      </c>
      <c r="D32" s="49">
        <f>E32/4</f>
        <v>52.5</v>
      </c>
      <c r="E32" s="50">
        <f>SUM(F32:G32)</f>
        <v>210</v>
      </c>
      <c r="F32" s="49">
        <f>SUM(F33:F36)</f>
        <v>10</v>
      </c>
      <c r="G32" s="49">
        <f>SUM(G33:G36)</f>
        <v>200</v>
      </c>
      <c r="J32" s="51">
        <f>12000*F32</f>
        <v>120000</v>
      </c>
      <c r="K32" s="51">
        <f>10000*G32</f>
        <v>2000000</v>
      </c>
      <c r="L32" s="52">
        <f>SUM(J32:K32)</f>
        <v>2120000</v>
      </c>
      <c r="M32" s="52">
        <f>L32*0.8</f>
        <v>1696000</v>
      </c>
      <c r="N32" s="52">
        <f>L32*0.2</f>
        <v>424000</v>
      </c>
    </row>
    <row r="33" spans="1:14" x14ac:dyDescent="0.45">
      <c r="A33" s="25"/>
      <c r="B33" s="33" t="s">
        <v>34</v>
      </c>
      <c r="C33" s="27">
        <f>D33/5</f>
        <v>3.1</v>
      </c>
      <c r="D33" s="34">
        <f>E33/4</f>
        <v>15.5</v>
      </c>
      <c r="E33" s="35">
        <f>SUM(F33:G33)</f>
        <v>62</v>
      </c>
      <c r="F33" s="53"/>
      <c r="G33" s="53">
        <v>62</v>
      </c>
      <c r="J33" s="36">
        <f>12000*F33</f>
        <v>0</v>
      </c>
      <c r="K33" s="45">
        <f>10000*G33</f>
        <v>620000</v>
      </c>
      <c r="L33" s="37">
        <f>SUM(J33:K33)</f>
        <v>620000</v>
      </c>
      <c r="M33" s="38">
        <f>L33*0.8</f>
        <v>496000</v>
      </c>
      <c r="N33" s="38">
        <f>L33*0.2</f>
        <v>124000</v>
      </c>
    </row>
    <row r="34" spans="1:14" x14ac:dyDescent="0.45">
      <c r="A34" s="25"/>
      <c r="B34" s="33" t="s">
        <v>35</v>
      </c>
      <c r="C34" s="27">
        <f>D34/5</f>
        <v>2.5</v>
      </c>
      <c r="D34" s="34">
        <f>E34/4</f>
        <v>12.5</v>
      </c>
      <c r="E34" s="35">
        <f>SUM(F34:G34)</f>
        <v>50</v>
      </c>
      <c r="F34" s="53">
        <v>2</v>
      </c>
      <c r="G34" s="53">
        <v>48</v>
      </c>
      <c r="J34" s="36">
        <f>12000*F34</f>
        <v>24000</v>
      </c>
      <c r="K34" s="45">
        <f>10000*G34</f>
        <v>480000</v>
      </c>
      <c r="L34" s="37">
        <f>SUM(J34:K34)</f>
        <v>504000</v>
      </c>
      <c r="M34" s="38">
        <f>L34*0.8</f>
        <v>403200</v>
      </c>
      <c r="N34" s="38">
        <f>L34*0.2</f>
        <v>100800</v>
      </c>
    </row>
    <row r="35" spans="1:14" x14ac:dyDescent="0.45">
      <c r="A35" s="25"/>
      <c r="B35" s="33" t="s">
        <v>36</v>
      </c>
      <c r="C35" s="27">
        <f>D35/5</f>
        <v>2.5499999999999998</v>
      </c>
      <c r="D35" s="34">
        <f>E35/4</f>
        <v>12.75</v>
      </c>
      <c r="E35" s="35">
        <f>SUM(F35:G35)</f>
        <v>51</v>
      </c>
      <c r="F35" s="53">
        <v>5</v>
      </c>
      <c r="G35" s="53">
        <v>46</v>
      </c>
      <c r="J35" s="36">
        <f>12000*F35</f>
        <v>60000</v>
      </c>
      <c r="K35" s="45">
        <f>10000*G35</f>
        <v>460000</v>
      </c>
      <c r="L35" s="37">
        <f>SUM(J35:K35)</f>
        <v>520000</v>
      </c>
      <c r="M35" s="38">
        <f>L35*0.8</f>
        <v>416000</v>
      </c>
      <c r="N35" s="38">
        <f>L35*0.2</f>
        <v>104000</v>
      </c>
    </row>
    <row r="36" spans="1:14" x14ac:dyDescent="0.45">
      <c r="A36" s="25"/>
      <c r="B36" s="33" t="s">
        <v>37</v>
      </c>
      <c r="C36" s="27">
        <f>D36/5</f>
        <v>2.35</v>
      </c>
      <c r="D36" s="34">
        <f>E36/4</f>
        <v>11.75</v>
      </c>
      <c r="E36" s="35">
        <f>SUM(F36:G36)</f>
        <v>47</v>
      </c>
      <c r="F36" s="54">
        <v>3</v>
      </c>
      <c r="G36" s="54">
        <v>44</v>
      </c>
      <c r="J36" s="36">
        <f>12000*F36</f>
        <v>36000</v>
      </c>
      <c r="K36" s="55">
        <f>10000*G36</f>
        <v>440000</v>
      </c>
      <c r="L36" s="37">
        <f>SUM(J36:K36)</f>
        <v>476000</v>
      </c>
      <c r="M36" s="38">
        <f>L36*0.8</f>
        <v>380800</v>
      </c>
      <c r="N36" s="38">
        <f>L36*0.2</f>
        <v>95200</v>
      </c>
    </row>
    <row r="37" spans="1:14" x14ac:dyDescent="0.45">
      <c r="C37"/>
      <c r="J37" s="41"/>
      <c r="K37" s="41"/>
      <c r="L37" s="41"/>
      <c r="M37" s="41"/>
      <c r="N37" s="41"/>
    </row>
    <row r="38" spans="1:14" x14ac:dyDescent="0.45">
      <c r="A38" s="25"/>
      <c r="B38" s="22"/>
      <c r="C38" s="23" t="s">
        <v>2</v>
      </c>
      <c r="D38" s="24"/>
      <c r="E38" s="24"/>
      <c r="F38" s="24"/>
      <c r="G38" s="24"/>
      <c r="J38" s="36"/>
      <c r="K38" s="55"/>
      <c r="L38" s="37"/>
      <c r="M38" s="38"/>
      <c r="N38" s="38"/>
    </row>
    <row r="39" spans="1:14" x14ac:dyDescent="0.45">
      <c r="A39" s="25"/>
      <c r="B39" s="22"/>
      <c r="C39" s="27" t="s">
        <v>5</v>
      </c>
      <c r="D39" s="9" t="s">
        <v>6</v>
      </c>
      <c r="E39" s="9" t="s">
        <v>7</v>
      </c>
      <c r="F39" s="10" t="s">
        <v>8</v>
      </c>
      <c r="G39" s="10" t="s">
        <v>9</v>
      </c>
      <c r="J39" s="36"/>
      <c r="K39" s="55"/>
      <c r="L39" s="37"/>
      <c r="M39" s="38"/>
      <c r="N39" s="38"/>
    </row>
    <row r="40" spans="1:14" x14ac:dyDescent="0.45">
      <c r="A40" s="25"/>
      <c r="B40" s="42" t="s">
        <v>38</v>
      </c>
      <c r="C40" s="27">
        <f>D40/5</f>
        <v>6</v>
      </c>
      <c r="D40" s="43">
        <f>E40/4</f>
        <v>30</v>
      </c>
      <c r="E40" s="44">
        <f>SUM(F40:G40)</f>
        <v>120</v>
      </c>
      <c r="F40" s="43">
        <f>SUM(F41:F42)</f>
        <v>20</v>
      </c>
      <c r="G40" s="43">
        <f>SUM(G41:G42)</f>
        <v>100</v>
      </c>
      <c r="J40" s="30">
        <f>12000*F40</f>
        <v>240000</v>
      </c>
      <c r="K40" s="30">
        <f>10000*G40</f>
        <v>1000000</v>
      </c>
      <c r="L40" s="32">
        <f>SUM(J40:K40)</f>
        <v>1240000</v>
      </c>
      <c r="M40" s="32">
        <f>L40*0.8</f>
        <v>992000</v>
      </c>
      <c r="N40" s="32">
        <f>L40*0.2</f>
        <v>248000</v>
      </c>
    </row>
    <row r="41" spans="1:14" x14ac:dyDescent="0.45">
      <c r="A41" s="25"/>
      <c r="B41" s="33" t="s">
        <v>39</v>
      </c>
      <c r="C41" s="27">
        <f>D41/5</f>
        <v>3</v>
      </c>
      <c r="D41" s="34">
        <f>E41/4</f>
        <v>15</v>
      </c>
      <c r="E41" s="35">
        <f>SUM(F41:G41)</f>
        <v>60</v>
      </c>
      <c r="F41" s="34">
        <v>10</v>
      </c>
      <c r="G41" s="34">
        <v>50</v>
      </c>
      <c r="J41" s="36">
        <f>12000*F41</f>
        <v>120000</v>
      </c>
      <c r="K41" s="36">
        <f>10000*G41</f>
        <v>500000</v>
      </c>
      <c r="L41" s="37">
        <f>SUM(J41:K41)</f>
        <v>620000</v>
      </c>
      <c r="M41" s="38">
        <f>L41*0.8</f>
        <v>496000</v>
      </c>
      <c r="N41" s="38">
        <f>L41*0.2</f>
        <v>124000</v>
      </c>
    </row>
    <row r="42" spans="1:14" x14ac:dyDescent="0.45">
      <c r="A42" s="25"/>
      <c r="B42" s="33" t="s">
        <v>40</v>
      </c>
      <c r="C42" s="27">
        <f>D42/5</f>
        <v>3</v>
      </c>
      <c r="D42" s="34">
        <f>E42/4</f>
        <v>15</v>
      </c>
      <c r="E42" s="35">
        <f>SUM(F42:G42)</f>
        <v>60</v>
      </c>
      <c r="F42" s="34">
        <v>10</v>
      </c>
      <c r="G42" s="34">
        <v>50</v>
      </c>
      <c r="J42" s="36">
        <f>12000*F42</f>
        <v>120000</v>
      </c>
      <c r="K42" s="36">
        <f>10000*G42</f>
        <v>500000</v>
      </c>
      <c r="L42" s="37">
        <f>SUM(J42:K42)</f>
        <v>620000</v>
      </c>
      <c r="M42" s="38">
        <f>L42*0.8</f>
        <v>496000</v>
      </c>
      <c r="N42" s="38">
        <f>L42*0.2</f>
        <v>124000</v>
      </c>
    </row>
    <row r="43" spans="1:14" ht="18" customHeight="1" x14ac:dyDescent="0.45">
      <c r="A43" s="25"/>
      <c r="B43" s="56" t="s">
        <v>41</v>
      </c>
      <c r="C43" s="57"/>
      <c r="D43" s="58"/>
      <c r="E43" s="59"/>
      <c r="F43" s="58"/>
      <c r="G43" s="58"/>
      <c r="J43" s="60"/>
      <c r="K43" s="60"/>
      <c r="L43" s="61"/>
      <c r="M43" s="61"/>
      <c r="N43" s="61"/>
    </row>
    <row r="44" spans="1:14" x14ac:dyDescent="0.45">
      <c r="C44"/>
      <c r="J44" s="41"/>
      <c r="K44" s="41"/>
      <c r="L44" s="41"/>
      <c r="M44" s="41"/>
      <c r="N44" s="41"/>
    </row>
    <row r="45" spans="1:14" ht="18" customHeight="1" x14ac:dyDescent="0.45">
      <c r="A45" s="25"/>
      <c r="B45" s="22"/>
      <c r="C45" s="62" t="s">
        <v>2</v>
      </c>
      <c r="D45" s="63"/>
      <c r="E45" s="63"/>
      <c r="F45" s="63"/>
      <c r="G45" s="63"/>
      <c r="J45" s="60"/>
      <c r="K45" s="60"/>
      <c r="L45" s="61"/>
      <c r="M45" s="61"/>
      <c r="N45" s="61"/>
    </row>
    <row r="46" spans="1:14" ht="18" customHeight="1" x14ac:dyDescent="0.45">
      <c r="A46" s="25"/>
      <c r="B46" s="22"/>
      <c r="C46" s="27" t="s">
        <v>5</v>
      </c>
      <c r="D46" s="9" t="s">
        <v>6</v>
      </c>
      <c r="E46" s="9" t="s">
        <v>7</v>
      </c>
      <c r="F46" s="10" t="s">
        <v>8</v>
      </c>
      <c r="G46" s="10" t="s">
        <v>9</v>
      </c>
      <c r="J46" s="60"/>
      <c r="K46" s="60"/>
      <c r="L46" s="61"/>
      <c r="M46" s="61"/>
      <c r="N46" s="61"/>
    </row>
    <row r="47" spans="1:14" x14ac:dyDescent="0.45">
      <c r="A47" s="25"/>
      <c r="B47" s="42" t="s">
        <v>42</v>
      </c>
      <c r="C47" s="27">
        <f>D47/5</f>
        <v>4</v>
      </c>
      <c r="D47" s="43">
        <f>E47/4</f>
        <v>20</v>
      </c>
      <c r="E47" s="44">
        <f>SUM(F47:G47)</f>
        <v>80</v>
      </c>
      <c r="F47" s="43">
        <f>SUM(F48:F49)</f>
        <v>10</v>
      </c>
      <c r="G47" s="43">
        <f>SUM(G48:G49)</f>
        <v>70</v>
      </c>
      <c r="J47" s="30">
        <f>12000*F47</f>
        <v>120000</v>
      </c>
      <c r="K47" s="30">
        <f>10000*G47</f>
        <v>700000</v>
      </c>
      <c r="L47" s="32">
        <f>SUM(J47:K47)</f>
        <v>820000</v>
      </c>
      <c r="M47" s="32">
        <f>L47*0.8</f>
        <v>656000</v>
      </c>
      <c r="N47" s="32">
        <f>L47*0.2</f>
        <v>164000</v>
      </c>
    </row>
    <row r="48" spans="1:14" x14ac:dyDescent="0.45">
      <c r="A48" s="25"/>
      <c r="B48" s="33" t="s">
        <v>43</v>
      </c>
      <c r="C48" s="27">
        <f>D48/5</f>
        <v>2.25</v>
      </c>
      <c r="D48" s="34">
        <f>E48/4</f>
        <v>11.25</v>
      </c>
      <c r="E48" s="35">
        <f>SUM(F48:G48)</f>
        <v>45</v>
      </c>
      <c r="F48" s="34">
        <v>5</v>
      </c>
      <c r="G48" s="34">
        <v>40</v>
      </c>
      <c r="J48" s="36">
        <f>12000*F48</f>
        <v>60000</v>
      </c>
      <c r="K48" s="36">
        <f>10000*G48</f>
        <v>400000</v>
      </c>
      <c r="L48" s="37">
        <f>SUM(J48:K48)</f>
        <v>460000</v>
      </c>
      <c r="M48" s="38">
        <f>L48*0.8</f>
        <v>368000</v>
      </c>
      <c r="N48" s="38">
        <f>L48*0.2</f>
        <v>92000</v>
      </c>
    </row>
    <row r="49" spans="1:14" x14ac:dyDescent="0.45">
      <c r="A49" s="25"/>
      <c r="B49" s="33" t="s">
        <v>44</v>
      </c>
      <c r="C49" s="27">
        <f>D49/5</f>
        <v>1.75</v>
      </c>
      <c r="D49" s="34">
        <f>E49/4</f>
        <v>8.75</v>
      </c>
      <c r="E49" s="35">
        <f>SUM(F49:G49)</f>
        <v>35</v>
      </c>
      <c r="F49" s="34">
        <v>5</v>
      </c>
      <c r="G49" s="34">
        <v>30</v>
      </c>
      <c r="J49" s="36">
        <f>12000*F49</f>
        <v>60000</v>
      </c>
      <c r="K49" s="36">
        <f>10000*G49</f>
        <v>300000</v>
      </c>
      <c r="L49" s="37">
        <f>SUM(J49:K49)</f>
        <v>360000</v>
      </c>
      <c r="M49" s="38">
        <f>L49*0.8</f>
        <v>288000</v>
      </c>
      <c r="N49" s="38">
        <f>L49*0.2</f>
        <v>72000</v>
      </c>
    </row>
    <row r="50" spans="1:14" x14ac:dyDescent="0.45">
      <c r="C50"/>
      <c r="J50" s="41"/>
      <c r="K50" s="41"/>
      <c r="L50" s="41"/>
      <c r="M50" s="41"/>
      <c r="N50" s="41"/>
    </row>
    <row r="51" spans="1:14" x14ac:dyDescent="0.45">
      <c r="A51" s="25"/>
      <c r="B51" s="22"/>
      <c r="C51" s="23" t="s">
        <v>2</v>
      </c>
      <c r="D51" s="24"/>
      <c r="E51" s="24"/>
      <c r="F51" s="24"/>
      <c r="G51" s="24"/>
      <c r="J51" s="36"/>
      <c r="K51" s="36"/>
      <c r="L51" s="37"/>
      <c r="M51" s="38"/>
      <c r="N51" s="38"/>
    </row>
    <row r="52" spans="1:14" x14ac:dyDescent="0.45">
      <c r="A52" s="25"/>
      <c r="B52" s="22"/>
      <c r="C52" s="27" t="s">
        <v>5</v>
      </c>
      <c r="D52" s="9" t="s">
        <v>6</v>
      </c>
      <c r="E52" s="9" t="s">
        <v>7</v>
      </c>
      <c r="F52" s="10" t="s">
        <v>8</v>
      </c>
      <c r="G52" s="10" t="s">
        <v>9</v>
      </c>
      <c r="J52" s="36"/>
      <c r="K52" s="36"/>
      <c r="L52" s="37"/>
      <c r="M52" s="38"/>
      <c r="N52" s="38"/>
    </row>
    <row r="53" spans="1:14" x14ac:dyDescent="0.45">
      <c r="A53" s="25"/>
      <c r="B53" s="42" t="s">
        <v>45</v>
      </c>
      <c r="C53" s="27">
        <f>SUM(C54:C57)</f>
        <v>6.5</v>
      </c>
      <c r="D53" s="43">
        <f>E53/4</f>
        <v>32.5</v>
      </c>
      <c r="E53" s="44">
        <f>SUM(F53:G53)</f>
        <v>130</v>
      </c>
      <c r="F53" s="43">
        <f>SUM(F54:F57)</f>
        <v>10</v>
      </c>
      <c r="G53" s="43">
        <f>SUM(G54:G57)</f>
        <v>120</v>
      </c>
      <c r="J53" s="30">
        <f>12000*F53</f>
        <v>120000</v>
      </c>
      <c r="K53" s="30">
        <f>10000*G53</f>
        <v>1200000</v>
      </c>
      <c r="L53" s="32">
        <f>SUM(J53:K53)</f>
        <v>1320000</v>
      </c>
      <c r="M53" s="32">
        <f>L53*0.8</f>
        <v>1056000</v>
      </c>
      <c r="N53" s="32">
        <f>L53*0.2</f>
        <v>264000</v>
      </c>
    </row>
    <row r="54" spans="1:14" x14ac:dyDescent="0.45">
      <c r="A54" s="25"/>
      <c r="B54" s="33" t="s">
        <v>46</v>
      </c>
      <c r="C54" s="27">
        <f>D54/5</f>
        <v>1.55</v>
      </c>
      <c r="D54" s="34">
        <f>E54/4</f>
        <v>7.75</v>
      </c>
      <c r="E54" s="34">
        <f>SUM(F54:G54)</f>
        <v>31</v>
      </c>
      <c r="F54" s="34">
        <v>1</v>
      </c>
      <c r="G54" s="34">
        <v>30</v>
      </c>
      <c r="J54" s="36">
        <f>12000*F54</f>
        <v>12000</v>
      </c>
      <c r="K54" s="36">
        <f>10000*G54</f>
        <v>300000</v>
      </c>
      <c r="L54" s="37">
        <f>SUM(J54:K54)</f>
        <v>312000</v>
      </c>
      <c r="M54" s="38">
        <f>L54*0.8</f>
        <v>249600</v>
      </c>
      <c r="N54" s="38">
        <f>L54*0.2</f>
        <v>62400</v>
      </c>
    </row>
    <row r="55" spans="1:14" x14ac:dyDescent="0.45">
      <c r="A55" s="25"/>
      <c r="B55" s="33" t="s">
        <v>47</v>
      </c>
      <c r="C55" s="27">
        <f>D55/5</f>
        <v>2.25</v>
      </c>
      <c r="D55" s="34">
        <f>E55/4</f>
        <v>11.25</v>
      </c>
      <c r="E55" s="35">
        <f>SUM(F55:G55)</f>
        <v>45</v>
      </c>
      <c r="F55" s="34">
        <v>5</v>
      </c>
      <c r="G55" s="34">
        <v>40</v>
      </c>
      <c r="J55" s="36">
        <f>12000*F55</f>
        <v>60000</v>
      </c>
      <c r="K55" s="36">
        <f>10000*G55</f>
        <v>400000</v>
      </c>
      <c r="L55" s="37">
        <f>SUM(J55:K55)</f>
        <v>460000</v>
      </c>
      <c r="M55" s="38">
        <f>L55*0.8</f>
        <v>368000</v>
      </c>
      <c r="N55" s="38">
        <f>L55*0.2</f>
        <v>92000</v>
      </c>
    </row>
    <row r="56" spans="1:14" x14ac:dyDescent="0.45">
      <c r="A56" s="25"/>
      <c r="B56" s="33" t="s">
        <v>48</v>
      </c>
      <c r="C56" s="27">
        <f>D56/5</f>
        <v>1.6</v>
      </c>
      <c r="D56" s="34">
        <f>E56/4</f>
        <v>8</v>
      </c>
      <c r="E56" s="35">
        <f>SUM(F56:G56)</f>
        <v>32</v>
      </c>
      <c r="F56" s="34">
        <v>2</v>
      </c>
      <c r="G56" s="34">
        <v>30</v>
      </c>
      <c r="J56" s="36">
        <f>12000*F56</f>
        <v>24000</v>
      </c>
      <c r="K56" s="36">
        <f>10000*G56</f>
        <v>300000</v>
      </c>
      <c r="L56" s="37">
        <f>SUM(J56:K56)</f>
        <v>324000</v>
      </c>
      <c r="M56" s="38">
        <f>L56*0.8</f>
        <v>259200</v>
      </c>
      <c r="N56" s="38">
        <f>L56*0.2</f>
        <v>64800</v>
      </c>
    </row>
    <row r="57" spans="1:14" x14ac:dyDescent="0.45">
      <c r="A57" s="25"/>
      <c r="B57" s="33" t="s">
        <v>49</v>
      </c>
      <c r="C57" s="27">
        <f>D57/5</f>
        <v>1.1000000000000001</v>
      </c>
      <c r="D57" s="34">
        <f>E57/4</f>
        <v>5.5</v>
      </c>
      <c r="E57" s="35">
        <f>SUM(F57:G57)</f>
        <v>22</v>
      </c>
      <c r="F57" s="34">
        <v>2</v>
      </c>
      <c r="G57" s="34">
        <v>20</v>
      </c>
      <c r="J57" s="36">
        <f>12000*F57</f>
        <v>24000</v>
      </c>
      <c r="K57" s="36">
        <f>10000*G57</f>
        <v>200000</v>
      </c>
      <c r="L57" s="37">
        <f>SUM(J57:K57)</f>
        <v>224000</v>
      </c>
      <c r="M57" s="38">
        <f>L57*0.8</f>
        <v>179200</v>
      </c>
      <c r="N57" s="38">
        <f>L57*0.2</f>
        <v>44800</v>
      </c>
    </row>
    <row r="58" spans="1:14" x14ac:dyDescent="0.45">
      <c r="C58"/>
      <c r="J58" s="41"/>
      <c r="K58" s="41"/>
      <c r="L58" s="41"/>
      <c r="M58" s="41"/>
      <c r="N58" s="41"/>
    </row>
    <row r="59" spans="1:14" x14ac:dyDescent="0.45">
      <c r="A59" s="25"/>
      <c r="B59" s="22"/>
      <c r="C59" s="23" t="s">
        <v>2</v>
      </c>
      <c r="D59" s="24"/>
      <c r="E59" s="24"/>
      <c r="F59" s="24"/>
      <c r="G59" s="24"/>
      <c r="J59" s="36"/>
      <c r="K59" s="36"/>
      <c r="L59" s="37"/>
      <c r="M59" s="38"/>
      <c r="N59" s="38"/>
    </row>
    <row r="60" spans="1:14" x14ac:dyDescent="0.45">
      <c r="A60" s="25"/>
      <c r="B60" s="22"/>
      <c r="C60" s="27" t="s">
        <v>5</v>
      </c>
      <c r="D60" s="9" t="s">
        <v>6</v>
      </c>
      <c r="E60" s="9" t="s">
        <v>7</v>
      </c>
      <c r="F60" s="10" t="s">
        <v>8</v>
      </c>
      <c r="G60" s="10" t="s">
        <v>9</v>
      </c>
      <c r="J60" s="36"/>
      <c r="K60" s="36"/>
      <c r="L60" s="37"/>
      <c r="M60" s="38"/>
      <c r="N60" s="38"/>
    </row>
    <row r="61" spans="1:14" x14ac:dyDescent="0.45">
      <c r="A61" s="64" t="s">
        <v>50</v>
      </c>
      <c r="B61" s="65" t="s">
        <v>50</v>
      </c>
      <c r="C61" s="27">
        <f>SUM(C62:C65)</f>
        <v>7</v>
      </c>
      <c r="D61" s="66">
        <f>E61/4</f>
        <v>35</v>
      </c>
      <c r="E61" s="17">
        <f>SUM(F61:G61)</f>
        <v>140</v>
      </c>
      <c r="F61" s="17">
        <f>SUM(F62:F65)</f>
        <v>20</v>
      </c>
      <c r="G61" s="17">
        <f>SUM(G62:G65)</f>
        <v>120</v>
      </c>
      <c r="J61" s="67">
        <f>12000*F61</f>
        <v>240000</v>
      </c>
      <c r="K61" s="67">
        <f>10000*G61</f>
        <v>1200000</v>
      </c>
      <c r="L61" s="68">
        <f>SUM(J61:K61)</f>
        <v>1440000</v>
      </c>
      <c r="M61" s="69">
        <f>L61*1</f>
        <v>1440000</v>
      </c>
      <c r="N61" s="69">
        <f>L61*0</f>
        <v>0</v>
      </c>
    </row>
    <row r="62" spans="1:14" x14ac:dyDescent="0.45">
      <c r="A62" s="70"/>
      <c r="B62" s="71" t="s">
        <v>51</v>
      </c>
      <c r="C62" s="27">
        <f>D62/5</f>
        <v>1.75</v>
      </c>
      <c r="D62" s="34">
        <f>E62/4</f>
        <v>8.75</v>
      </c>
      <c r="E62" s="35">
        <f>SUM(F62:G62)</f>
        <v>35</v>
      </c>
      <c r="F62" s="72">
        <v>5</v>
      </c>
      <c r="G62" s="72">
        <v>30</v>
      </c>
      <c r="J62" s="36">
        <f>12000*F62</f>
        <v>60000</v>
      </c>
      <c r="K62" s="36">
        <f>10000*G62</f>
        <v>300000</v>
      </c>
      <c r="L62" s="38">
        <f>SUM(J62:K62)</f>
        <v>360000</v>
      </c>
      <c r="M62" s="73">
        <f>L62*1</f>
        <v>360000</v>
      </c>
      <c r="N62" s="73">
        <f>L62*0</f>
        <v>0</v>
      </c>
    </row>
    <row r="63" spans="1:14" x14ac:dyDescent="0.45">
      <c r="A63" s="70"/>
      <c r="B63" s="71" t="s">
        <v>52</v>
      </c>
      <c r="C63" s="27">
        <f>D63/5</f>
        <v>1.75</v>
      </c>
      <c r="D63" s="34">
        <f>E63/4</f>
        <v>8.75</v>
      </c>
      <c r="E63" s="35">
        <f>SUM(F63:G63)</f>
        <v>35</v>
      </c>
      <c r="F63" s="72">
        <v>5</v>
      </c>
      <c r="G63" s="72">
        <v>30</v>
      </c>
      <c r="J63" s="36">
        <f>12000*F63</f>
        <v>60000</v>
      </c>
      <c r="K63" s="36">
        <f>10000*G63</f>
        <v>300000</v>
      </c>
      <c r="L63" s="38">
        <f>SUM(J63:K63)</f>
        <v>360000</v>
      </c>
      <c r="M63" s="73">
        <f>L63*1</f>
        <v>360000</v>
      </c>
      <c r="N63" s="73"/>
    </row>
    <row r="64" spans="1:14" x14ac:dyDescent="0.45">
      <c r="A64" s="70"/>
      <c r="B64" s="71" t="s">
        <v>53</v>
      </c>
      <c r="C64" s="27">
        <f>D64/5</f>
        <v>1.75</v>
      </c>
      <c r="D64" s="34">
        <f>E64/4</f>
        <v>8.75</v>
      </c>
      <c r="E64" s="35">
        <f>SUM(F64:G64)</f>
        <v>35</v>
      </c>
      <c r="F64" s="72">
        <v>5</v>
      </c>
      <c r="G64" s="72">
        <v>30</v>
      </c>
      <c r="J64" s="36">
        <f>12000*F64</f>
        <v>60000</v>
      </c>
      <c r="K64" s="36">
        <f>10000*G64</f>
        <v>300000</v>
      </c>
      <c r="L64" s="38">
        <f>SUM(J64:K64)</f>
        <v>360000</v>
      </c>
      <c r="M64" s="73">
        <f>L64*1</f>
        <v>360000</v>
      </c>
      <c r="N64" s="73"/>
    </row>
    <row r="65" spans="1:14" x14ac:dyDescent="0.45">
      <c r="A65" s="70"/>
      <c r="B65" s="71" t="s">
        <v>54</v>
      </c>
      <c r="C65" s="27">
        <f>D65/5</f>
        <v>1.75</v>
      </c>
      <c r="D65" s="34">
        <f>E65/4</f>
        <v>8.75</v>
      </c>
      <c r="E65" s="35">
        <f>SUM(F65:G65)</f>
        <v>35</v>
      </c>
      <c r="F65" s="72">
        <v>5</v>
      </c>
      <c r="G65" s="72">
        <v>30</v>
      </c>
      <c r="J65" s="36">
        <f>12000*F65</f>
        <v>60000</v>
      </c>
      <c r="K65" s="36">
        <f>10000*G65</f>
        <v>300000</v>
      </c>
      <c r="L65" s="38">
        <f>SUM(J65:K65)</f>
        <v>360000</v>
      </c>
      <c r="M65" s="73">
        <f>L65*1</f>
        <v>360000</v>
      </c>
      <c r="N65" s="73"/>
    </row>
    <row r="66" spans="1:14" x14ac:dyDescent="0.45">
      <c r="C66"/>
      <c r="J66" s="41"/>
      <c r="K66" s="41"/>
      <c r="L66" s="41"/>
      <c r="M66" s="41"/>
      <c r="N66" s="41"/>
    </row>
    <row r="67" spans="1:14" x14ac:dyDescent="0.45">
      <c r="A67" s="70"/>
      <c r="B67" s="22"/>
      <c r="C67" s="23" t="s">
        <v>2</v>
      </c>
      <c r="D67" s="24"/>
      <c r="E67" s="24"/>
      <c r="F67" s="24"/>
      <c r="G67" s="24"/>
      <c r="J67" s="36"/>
      <c r="K67" s="36"/>
      <c r="L67" s="38"/>
      <c r="M67" s="73"/>
      <c r="N67" s="73"/>
    </row>
    <row r="68" spans="1:14" x14ac:dyDescent="0.45">
      <c r="A68" s="70"/>
      <c r="B68" s="22"/>
      <c r="C68" s="27" t="s">
        <v>5</v>
      </c>
      <c r="D68" s="9" t="s">
        <v>6</v>
      </c>
      <c r="E68" s="9" t="s">
        <v>7</v>
      </c>
      <c r="F68" s="10" t="s">
        <v>8</v>
      </c>
      <c r="G68" s="10" t="s">
        <v>9</v>
      </c>
      <c r="J68" s="36"/>
      <c r="K68" s="36"/>
      <c r="L68" s="38"/>
      <c r="M68" s="73"/>
      <c r="N68" s="73"/>
    </row>
    <row r="69" spans="1:14" x14ac:dyDescent="0.45">
      <c r="A69" s="74" t="s">
        <v>55</v>
      </c>
      <c r="B69" s="65" t="s">
        <v>55</v>
      </c>
      <c r="C69" s="27">
        <f t="shared" ref="C69:C74" si="8">D69/5</f>
        <v>8.35</v>
      </c>
      <c r="D69" s="75">
        <f t="shared" ref="D69:D74" si="9">E69/4</f>
        <v>41.75</v>
      </c>
      <c r="E69" s="17">
        <f t="shared" ref="E69:E74" si="10">SUM(F69:G69)</f>
        <v>167</v>
      </c>
      <c r="F69" s="76">
        <f>SUM(F70:F74)</f>
        <v>10</v>
      </c>
      <c r="G69" s="76">
        <f>SUM(G70:G74)</f>
        <v>157</v>
      </c>
      <c r="J69" s="67">
        <f t="shared" ref="J69:J74" si="11">12000*F69</f>
        <v>120000</v>
      </c>
      <c r="K69" s="67">
        <f t="shared" ref="K69:K74" si="12">10000*G69</f>
        <v>1570000</v>
      </c>
      <c r="L69" s="68">
        <f t="shared" ref="L69:L74" si="13">SUM(J69:K69)</f>
        <v>1690000</v>
      </c>
      <c r="M69" s="69">
        <f t="shared" ref="M69:M74" si="14">L69*0.8</f>
        <v>1352000</v>
      </c>
      <c r="N69" s="77">
        <f t="shared" ref="N69:N74" si="15">L69*0.2</f>
        <v>338000</v>
      </c>
    </row>
    <row r="70" spans="1:14" x14ac:dyDescent="0.45">
      <c r="B70" s="33" t="s">
        <v>56</v>
      </c>
      <c r="C70" s="27">
        <f t="shared" si="8"/>
        <v>2</v>
      </c>
      <c r="D70" s="34">
        <f t="shared" si="9"/>
        <v>10</v>
      </c>
      <c r="E70" s="35">
        <f t="shared" si="10"/>
        <v>40</v>
      </c>
      <c r="F70" s="78">
        <v>1</v>
      </c>
      <c r="G70" s="78">
        <v>39</v>
      </c>
      <c r="J70" s="78">
        <f t="shared" si="11"/>
        <v>12000</v>
      </c>
      <c r="K70" s="36">
        <f t="shared" si="12"/>
        <v>390000</v>
      </c>
      <c r="L70" s="38">
        <f t="shared" si="13"/>
        <v>402000</v>
      </c>
      <c r="M70" s="38">
        <f t="shared" si="14"/>
        <v>321600</v>
      </c>
      <c r="N70" s="38">
        <f t="shared" si="15"/>
        <v>80400</v>
      </c>
    </row>
    <row r="71" spans="1:14" x14ac:dyDescent="0.45">
      <c r="B71" s="33" t="s">
        <v>57</v>
      </c>
      <c r="C71" s="27">
        <f t="shared" si="8"/>
        <v>1.55</v>
      </c>
      <c r="D71" s="34">
        <f t="shared" si="9"/>
        <v>7.75</v>
      </c>
      <c r="E71" s="35">
        <f t="shared" si="10"/>
        <v>31</v>
      </c>
      <c r="F71" s="78">
        <v>1</v>
      </c>
      <c r="G71" s="78">
        <v>30</v>
      </c>
      <c r="J71" s="78">
        <f t="shared" si="11"/>
        <v>12000</v>
      </c>
      <c r="K71" s="36">
        <f t="shared" si="12"/>
        <v>300000</v>
      </c>
      <c r="L71" s="38">
        <f t="shared" si="13"/>
        <v>312000</v>
      </c>
      <c r="M71" s="38">
        <f t="shared" si="14"/>
        <v>249600</v>
      </c>
      <c r="N71" s="38">
        <f t="shared" si="15"/>
        <v>62400</v>
      </c>
    </row>
    <row r="72" spans="1:14" x14ac:dyDescent="0.45">
      <c r="B72" s="33" t="s">
        <v>58</v>
      </c>
      <c r="C72" s="27">
        <f t="shared" si="8"/>
        <v>1.45</v>
      </c>
      <c r="D72" s="34">
        <f t="shared" si="9"/>
        <v>7.25</v>
      </c>
      <c r="E72" s="35">
        <f t="shared" si="10"/>
        <v>29</v>
      </c>
      <c r="F72" s="78">
        <v>1</v>
      </c>
      <c r="G72" s="78">
        <v>28</v>
      </c>
      <c r="J72" s="78">
        <f t="shared" si="11"/>
        <v>12000</v>
      </c>
      <c r="K72" s="36">
        <f t="shared" si="12"/>
        <v>280000</v>
      </c>
      <c r="L72" s="38">
        <f t="shared" si="13"/>
        <v>292000</v>
      </c>
      <c r="M72" s="38">
        <f t="shared" si="14"/>
        <v>233600</v>
      </c>
      <c r="N72" s="38">
        <f t="shared" si="15"/>
        <v>58400</v>
      </c>
    </row>
    <row r="73" spans="1:14" x14ac:dyDescent="0.45">
      <c r="B73" s="33" t="s">
        <v>59</v>
      </c>
      <c r="C73" s="27">
        <f t="shared" si="8"/>
        <v>1.3</v>
      </c>
      <c r="D73" s="34">
        <f t="shared" si="9"/>
        <v>6.5</v>
      </c>
      <c r="E73" s="35">
        <f t="shared" si="10"/>
        <v>26</v>
      </c>
      <c r="F73" s="78">
        <v>1</v>
      </c>
      <c r="G73" s="78">
        <v>25</v>
      </c>
      <c r="J73" s="78">
        <f t="shared" si="11"/>
        <v>12000</v>
      </c>
      <c r="K73" s="36">
        <f t="shared" si="12"/>
        <v>250000</v>
      </c>
      <c r="L73" s="38">
        <f t="shared" si="13"/>
        <v>262000</v>
      </c>
      <c r="M73" s="38">
        <f t="shared" si="14"/>
        <v>209600</v>
      </c>
      <c r="N73" s="38">
        <f t="shared" si="15"/>
        <v>52400</v>
      </c>
    </row>
    <row r="74" spans="1:14" x14ac:dyDescent="0.45">
      <c r="B74" s="33" t="s">
        <v>60</v>
      </c>
      <c r="C74" s="27">
        <f t="shared" si="8"/>
        <v>2.0499999999999998</v>
      </c>
      <c r="D74" s="34">
        <f t="shared" si="9"/>
        <v>10.25</v>
      </c>
      <c r="E74" s="35">
        <f t="shared" si="10"/>
        <v>41</v>
      </c>
      <c r="F74" s="78">
        <v>6</v>
      </c>
      <c r="G74" s="78">
        <v>35</v>
      </c>
      <c r="J74" s="78">
        <f t="shared" si="11"/>
        <v>72000</v>
      </c>
      <c r="K74" s="36">
        <f t="shared" si="12"/>
        <v>350000</v>
      </c>
      <c r="L74" s="38">
        <f t="shared" si="13"/>
        <v>422000</v>
      </c>
      <c r="M74" s="38">
        <f t="shared" si="14"/>
        <v>337600</v>
      </c>
      <c r="N74" s="38">
        <f t="shared" si="15"/>
        <v>84400</v>
      </c>
    </row>
    <row r="75" spans="1:14" x14ac:dyDescent="0.45">
      <c r="C75"/>
      <c r="J75" s="41"/>
      <c r="K75" s="41"/>
      <c r="L75" s="41"/>
      <c r="M75" s="41"/>
      <c r="N75" s="41"/>
    </row>
    <row r="76" spans="1:14" x14ac:dyDescent="0.45">
      <c r="B76" s="22"/>
      <c r="C76" s="23" t="s">
        <v>2</v>
      </c>
      <c r="D76" s="24"/>
      <c r="E76" s="24"/>
      <c r="F76" s="24"/>
      <c r="G76" s="24"/>
      <c r="J76" s="78"/>
      <c r="K76" s="36"/>
      <c r="L76" s="38"/>
      <c r="M76" s="38"/>
      <c r="N76" s="38"/>
    </row>
    <row r="77" spans="1:14" x14ac:dyDescent="0.45">
      <c r="B77" s="22"/>
      <c r="C77" s="27" t="s">
        <v>5</v>
      </c>
      <c r="D77" s="9" t="s">
        <v>6</v>
      </c>
      <c r="E77" s="9" t="s">
        <v>7</v>
      </c>
      <c r="F77" s="10" t="s">
        <v>8</v>
      </c>
      <c r="G77" s="10" t="s">
        <v>9</v>
      </c>
      <c r="J77" s="78"/>
      <c r="K77" s="36"/>
      <c r="L77" s="38"/>
      <c r="M77" s="38"/>
      <c r="N77" s="38"/>
    </row>
    <row r="78" spans="1:14" x14ac:dyDescent="0.45">
      <c r="A78" s="14" t="s">
        <v>61</v>
      </c>
      <c r="B78" s="14" t="s">
        <v>61</v>
      </c>
      <c r="C78" s="27">
        <f>D78/5</f>
        <v>5</v>
      </c>
      <c r="D78" s="66">
        <f>E78/4</f>
        <v>25</v>
      </c>
      <c r="E78" s="17">
        <f>SUM(F78:G78)</f>
        <v>100</v>
      </c>
      <c r="F78" s="76">
        <v>40</v>
      </c>
      <c r="G78" s="76">
        <v>60</v>
      </c>
      <c r="J78" s="67">
        <f>12000*F78</f>
        <v>480000</v>
      </c>
      <c r="K78" s="67">
        <f>10000*G78</f>
        <v>600000</v>
      </c>
      <c r="L78" s="68">
        <f>SUM(J78:K78)</f>
        <v>1080000</v>
      </c>
      <c r="M78" s="69">
        <f>L78*0.8</f>
        <v>864000</v>
      </c>
      <c r="N78" s="77">
        <f>L78*0.2</f>
        <v>216000</v>
      </c>
    </row>
    <row r="79" spans="1:14" x14ac:dyDescent="0.45">
      <c r="A79" s="70"/>
      <c r="B79" s="33" t="s">
        <v>62</v>
      </c>
      <c r="C79" s="27">
        <f>D79/5</f>
        <v>2.5</v>
      </c>
      <c r="D79" s="79">
        <f>E79/4</f>
        <v>12.5</v>
      </c>
      <c r="E79" s="72">
        <f>SUM(F79:G79)</f>
        <v>50</v>
      </c>
      <c r="F79" s="80">
        <v>20</v>
      </c>
      <c r="G79" s="80">
        <v>30</v>
      </c>
      <c r="J79" s="36">
        <f>12000*F79</f>
        <v>240000</v>
      </c>
      <c r="K79" s="36">
        <f>10000*G79</f>
        <v>300000</v>
      </c>
      <c r="L79" s="38">
        <f>SUM(J79:K79)</f>
        <v>540000</v>
      </c>
      <c r="M79" s="73">
        <f>L79*0.8</f>
        <v>432000</v>
      </c>
      <c r="N79" s="81">
        <f>L79*0.2</f>
        <v>108000</v>
      </c>
    </row>
    <row r="80" spans="1:14" x14ac:dyDescent="0.45">
      <c r="A80" s="70"/>
      <c r="B80" s="33" t="s">
        <v>63</v>
      </c>
      <c r="C80" s="27">
        <f>D80/5</f>
        <v>2.5</v>
      </c>
      <c r="D80" s="79">
        <f>E80/4</f>
        <v>12.5</v>
      </c>
      <c r="E80" s="72">
        <f>SUM(F80:G80)</f>
        <v>50</v>
      </c>
      <c r="F80" s="80">
        <v>20</v>
      </c>
      <c r="G80" s="80">
        <v>30</v>
      </c>
      <c r="J80" s="36">
        <f>12000*F80</f>
        <v>240000</v>
      </c>
      <c r="K80" s="36">
        <f>10000*G80</f>
        <v>300000</v>
      </c>
      <c r="L80" s="38">
        <f>SUM(J80:K80)</f>
        <v>540000</v>
      </c>
      <c r="M80" s="73">
        <f>L80*0.8</f>
        <v>432000</v>
      </c>
      <c r="N80" s="81">
        <f>L80*0.2</f>
        <v>108000</v>
      </c>
    </row>
    <row r="81" spans="1:14" x14ac:dyDescent="0.45">
      <c r="C81"/>
      <c r="J81" s="41"/>
      <c r="K81" s="41"/>
      <c r="L81" s="41"/>
      <c r="M81" s="41"/>
      <c r="N81" s="41"/>
    </row>
    <row r="82" spans="1:14" x14ac:dyDescent="0.45">
      <c r="A82" s="70"/>
      <c r="B82" s="22"/>
      <c r="C82" s="23" t="s">
        <v>2</v>
      </c>
      <c r="D82" s="24"/>
      <c r="E82" s="24"/>
      <c r="F82" s="24"/>
      <c r="G82" s="24"/>
      <c r="J82" s="36"/>
      <c r="K82" s="36"/>
      <c r="L82" s="38"/>
      <c r="M82" s="73"/>
      <c r="N82" s="81"/>
    </row>
    <row r="83" spans="1:14" x14ac:dyDescent="0.45">
      <c r="A83" s="70"/>
      <c r="B83" s="22"/>
      <c r="C83" s="27" t="s">
        <v>5</v>
      </c>
      <c r="D83" s="9" t="s">
        <v>6</v>
      </c>
      <c r="E83" s="9" t="s">
        <v>7</v>
      </c>
      <c r="F83" s="10" t="s">
        <v>8</v>
      </c>
      <c r="G83" s="10" t="s">
        <v>9</v>
      </c>
      <c r="J83" s="36"/>
      <c r="K83" s="36"/>
      <c r="L83" s="38"/>
      <c r="M83" s="73"/>
      <c r="N83" s="81"/>
    </row>
    <row r="84" spans="1:14" x14ac:dyDescent="0.45">
      <c r="A84" s="64" t="s">
        <v>64</v>
      </c>
      <c r="B84" s="64" t="s">
        <v>64</v>
      </c>
      <c r="C84" s="27">
        <f>SUM(C85:C87)</f>
        <v>5</v>
      </c>
      <c r="D84" s="66">
        <f>E84/4</f>
        <v>25</v>
      </c>
      <c r="E84" s="17">
        <f>SUM(F84:G84)</f>
        <v>100</v>
      </c>
      <c r="F84" s="76">
        <v>40</v>
      </c>
      <c r="G84" s="76">
        <v>60</v>
      </c>
      <c r="J84" s="67">
        <f>12000*F84</f>
        <v>480000</v>
      </c>
      <c r="K84" s="67">
        <f>10000*G84</f>
        <v>600000</v>
      </c>
      <c r="L84" s="68">
        <f>SUM(J84:K84)</f>
        <v>1080000</v>
      </c>
      <c r="M84" s="69">
        <f>L84*0.8</f>
        <v>864000</v>
      </c>
      <c r="N84" s="77">
        <f>L84*0.2</f>
        <v>216000</v>
      </c>
    </row>
    <row r="85" spans="1:14" x14ac:dyDescent="0.45">
      <c r="B85" s="82" t="s">
        <v>65</v>
      </c>
      <c r="C85" s="27">
        <f>D85/5</f>
        <v>1.5</v>
      </c>
      <c r="D85" s="79">
        <f>E85/4</f>
        <v>7.5</v>
      </c>
      <c r="E85" s="72">
        <f>SUM(F85:G85)</f>
        <v>30</v>
      </c>
      <c r="F85" s="78">
        <v>10</v>
      </c>
      <c r="G85" s="78">
        <v>20</v>
      </c>
      <c r="J85" s="36">
        <f>12000*F85</f>
        <v>120000</v>
      </c>
      <c r="K85" s="36">
        <f>10000*G85</f>
        <v>200000</v>
      </c>
      <c r="L85" s="38">
        <f>SUM(J85:K85)</f>
        <v>320000</v>
      </c>
      <c r="M85" s="73">
        <f>L85*0.8</f>
        <v>256000</v>
      </c>
      <c r="N85" s="81">
        <f>L85*0.2</f>
        <v>64000</v>
      </c>
    </row>
    <row r="86" spans="1:14" x14ac:dyDescent="0.45">
      <c r="B86" s="82" t="s">
        <v>66</v>
      </c>
      <c r="C86" s="27">
        <f>D86/5</f>
        <v>2</v>
      </c>
      <c r="D86" s="79">
        <f>E86/4</f>
        <v>10</v>
      </c>
      <c r="E86" s="72">
        <f>SUM(F86:G86)</f>
        <v>40</v>
      </c>
      <c r="F86" s="78">
        <v>20</v>
      </c>
      <c r="G86" s="78">
        <v>20</v>
      </c>
      <c r="J86" s="36">
        <f>12000*F86</f>
        <v>240000</v>
      </c>
      <c r="K86" s="36">
        <f>10000*G86</f>
        <v>200000</v>
      </c>
      <c r="L86" s="38">
        <f>SUM(J86:K86)</f>
        <v>440000</v>
      </c>
      <c r="M86" s="73">
        <f>L86*0.8</f>
        <v>352000</v>
      </c>
      <c r="N86" s="81">
        <f>L86*0.2</f>
        <v>88000</v>
      </c>
    </row>
    <row r="87" spans="1:14" x14ac:dyDescent="0.45">
      <c r="A87" s="83"/>
      <c r="B87" s="82" t="s">
        <v>67</v>
      </c>
      <c r="C87" s="27">
        <f>D87/5</f>
        <v>1.5</v>
      </c>
      <c r="D87" s="79">
        <f>E87/4</f>
        <v>7.5</v>
      </c>
      <c r="E87" s="72">
        <f>SUM(F87:G87)</f>
        <v>30</v>
      </c>
      <c r="F87" s="78">
        <v>10</v>
      </c>
      <c r="G87" s="78">
        <v>20</v>
      </c>
      <c r="J87" s="36">
        <f>12000*F87</f>
        <v>120000</v>
      </c>
      <c r="K87" s="36">
        <f>10000*G87</f>
        <v>200000</v>
      </c>
      <c r="L87" s="38">
        <f>SUM(J87:K87)</f>
        <v>320000</v>
      </c>
      <c r="M87" s="73">
        <f>L87*0.8</f>
        <v>256000</v>
      </c>
      <c r="N87" s="81">
        <f>L87*0.2</f>
        <v>64000</v>
      </c>
    </row>
  </sheetData>
  <mergeCells count="11">
    <mergeCell ref="C51:G51"/>
    <mergeCell ref="C59:G59"/>
    <mergeCell ref="C67:G67"/>
    <mergeCell ref="C76:G76"/>
    <mergeCell ref="C82:G82"/>
    <mergeCell ref="C1:G1"/>
    <mergeCell ref="C6:G6"/>
    <mergeCell ref="C23:G23"/>
    <mergeCell ref="C30:G30"/>
    <mergeCell ref="C38:G38"/>
    <mergeCell ref="C45:G4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OBJECTIFS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Gaudens Romain ZOCLI</dc:creator>
  <cp:lastModifiedBy>Gaudens Romain ZOCLI</cp:lastModifiedBy>
  <dcterms:created xsi:type="dcterms:W3CDTF">2026-10-13T10:48:52Z</dcterms:created>
  <dcterms:modified xsi:type="dcterms:W3CDTF">2026-10-13T10:50:08Z</dcterms:modified>
</cp:coreProperties>
</file>