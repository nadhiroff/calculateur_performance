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94c0943bd02416/Documents/2026/Celtiis/Reporting/"/>
    </mc:Choice>
  </mc:AlternateContent>
  <xr:revisionPtr revIDLastSave="0" documentId="8_{1FFB7154-966B-4644-87C8-035540D52072}" xr6:coauthVersionLast="47" xr6:coauthVersionMax="47" xr10:uidLastSave="{00000000-0000-0000-0000-000000000000}"/>
  <bookViews>
    <workbookView xWindow="-98" yWindow="-98" windowWidth="21795" windowHeight="13875" tabRatio="500" xr2:uid="{00000000-000D-0000-FFFF-FFFF00000000}"/>
  </bookViews>
  <sheets>
    <sheet name="Règlement" sheetId="1" r:id="rId1"/>
    <sheet name="Paramètres" sheetId="2" r:id="rId2"/>
    <sheet name="Saisie B2C" sheetId="3" r:id="rId3"/>
    <sheet name="Saisie B2B" sheetId="4" r:id="rId4"/>
    <sheet name="Tableau du jour" sheetId="5" r:id="rId5"/>
    <sheet name="Suivi Agents" sheetId="6" r:id="rId6"/>
    <sheet name="Suivi Équipes" sheetId="7" r:id="rId7"/>
    <sheet name="Classement" sheetId="8" r:id="rId8"/>
    <sheet name="Budget" sheetId="9" r:id="rId9"/>
    <sheet name="Calcul quotidie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04" i="10" l="1"/>
  <c r="U104" i="10"/>
  <c r="T104" i="10"/>
  <c r="S104" i="10"/>
  <c r="R104" i="10"/>
  <c r="Q104" i="10"/>
  <c r="P104" i="10"/>
  <c r="O104" i="10"/>
  <c r="N104" i="10"/>
  <c r="M104" i="10"/>
  <c r="L104" i="10"/>
  <c r="K104" i="10"/>
  <c r="J104" i="10"/>
  <c r="I104" i="10"/>
  <c r="H104" i="10"/>
  <c r="G104" i="10"/>
  <c r="F104" i="10"/>
  <c r="E104" i="10"/>
  <c r="D104" i="10"/>
  <c r="AH103" i="10"/>
  <c r="AG103" i="10"/>
  <c r="AF103" i="10"/>
  <c r="AE103" i="10"/>
  <c r="AD103" i="10"/>
  <c r="AC103" i="10"/>
  <c r="AB103" i="10"/>
  <c r="AA103" i="10"/>
  <c r="Z103" i="10"/>
  <c r="Y103" i="10"/>
  <c r="X103" i="10"/>
  <c r="W103" i="10"/>
  <c r="V103" i="10"/>
  <c r="U103" i="10"/>
  <c r="T103" i="10"/>
  <c r="S103" i="10"/>
  <c r="R103" i="10"/>
  <c r="Q103" i="10"/>
  <c r="P103" i="10"/>
  <c r="O103" i="10"/>
  <c r="N103" i="10"/>
  <c r="M103" i="10"/>
  <c r="L103" i="10"/>
  <c r="K103" i="10"/>
  <c r="J103" i="10"/>
  <c r="I103" i="10"/>
  <c r="H103" i="10"/>
  <c r="G103" i="10"/>
  <c r="F103" i="10"/>
  <c r="E103" i="10"/>
  <c r="D103" i="10"/>
  <c r="D56" i="5" s="1"/>
  <c r="AH102" i="10"/>
  <c r="AG102" i="10"/>
  <c r="AF102" i="10"/>
  <c r="AE102" i="10"/>
  <c r="AD102" i="10"/>
  <c r="AC102" i="10"/>
  <c r="AB102" i="10"/>
  <c r="AA102" i="10"/>
  <c r="Z102" i="10"/>
  <c r="Y102" i="10"/>
  <c r="X102" i="10"/>
  <c r="W102" i="10"/>
  <c r="V102" i="10"/>
  <c r="U102" i="10"/>
  <c r="T102" i="10"/>
  <c r="S102" i="10"/>
  <c r="R102" i="10"/>
  <c r="Q102" i="10"/>
  <c r="P102" i="10"/>
  <c r="O102" i="10"/>
  <c r="N102" i="10"/>
  <c r="M102" i="10"/>
  <c r="L102" i="10"/>
  <c r="K102" i="10"/>
  <c r="J102" i="10"/>
  <c r="I102" i="10"/>
  <c r="H102" i="10"/>
  <c r="G102" i="10"/>
  <c r="F102" i="10"/>
  <c r="E102" i="10"/>
  <c r="D102" i="10"/>
  <c r="D55" i="5" s="1"/>
  <c r="AH101" i="10"/>
  <c r="AG101" i="10"/>
  <c r="AF101" i="10"/>
  <c r="AE101" i="10"/>
  <c r="AD101" i="10"/>
  <c r="AC101" i="10"/>
  <c r="AB101" i="10"/>
  <c r="AA101" i="10"/>
  <c r="Z101" i="10"/>
  <c r="Y101" i="10"/>
  <c r="X101" i="10"/>
  <c r="W101" i="10"/>
  <c r="V101" i="10"/>
  <c r="U101" i="10"/>
  <c r="T101" i="10"/>
  <c r="S101" i="10"/>
  <c r="R101" i="10"/>
  <c r="Q101" i="10"/>
  <c r="P101" i="10"/>
  <c r="O101" i="10"/>
  <c r="N101" i="10"/>
  <c r="M101" i="10"/>
  <c r="L101" i="10"/>
  <c r="K101" i="10"/>
  <c r="J101" i="10"/>
  <c r="I101" i="10"/>
  <c r="H101" i="10"/>
  <c r="G101" i="10"/>
  <c r="F101" i="10"/>
  <c r="E101" i="10"/>
  <c r="D101" i="10"/>
  <c r="D54" i="5" s="1"/>
  <c r="AH100" i="10"/>
  <c r="AG100" i="10"/>
  <c r="AF100" i="10"/>
  <c r="AE100" i="10"/>
  <c r="AD100" i="10"/>
  <c r="AC100" i="10"/>
  <c r="AB100" i="10"/>
  <c r="AA100" i="10"/>
  <c r="Z100" i="10"/>
  <c r="Y100" i="10"/>
  <c r="X100" i="10"/>
  <c r="W100" i="10"/>
  <c r="V100" i="10"/>
  <c r="U100" i="10"/>
  <c r="T100" i="10"/>
  <c r="S100" i="10"/>
  <c r="R100" i="10"/>
  <c r="Q100" i="10"/>
  <c r="P100" i="10"/>
  <c r="O100" i="10"/>
  <c r="N100" i="10"/>
  <c r="M100" i="10"/>
  <c r="L100" i="10"/>
  <c r="K100" i="10"/>
  <c r="J100" i="10"/>
  <c r="I100" i="10"/>
  <c r="H100" i="10"/>
  <c r="G100" i="10"/>
  <c r="F100" i="10"/>
  <c r="E100" i="10"/>
  <c r="D100" i="10"/>
  <c r="D53" i="5" s="1"/>
  <c r="AH99" i="10"/>
  <c r="AG99" i="10"/>
  <c r="AF99" i="10"/>
  <c r="AE99" i="10"/>
  <c r="AD99" i="10"/>
  <c r="AC99" i="10"/>
  <c r="AB99" i="10"/>
  <c r="AA99" i="10"/>
  <c r="Z99" i="10"/>
  <c r="Y99" i="10"/>
  <c r="X99" i="10"/>
  <c r="W99" i="10"/>
  <c r="V99" i="10"/>
  <c r="U99" i="10"/>
  <c r="T99" i="10"/>
  <c r="S99" i="10"/>
  <c r="R99" i="10"/>
  <c r="Q99" i="10"/>
  <c r="P99" i="10"/>
  <c r="O99" i="10"/>
  <c r="N99" i="10"/>
  <c r="M99" i="10"/>
  <c r="L99" i="10"/>
  <c r="K99" i="10"/>
  <c r="J99" i="10"/>
  <c r="I99" i="10"/>
  <c r="H99" i="10"/>
  <c r="G99" i="10"/>
  <c r="F99" i="10"/>
  <c r="E99" i="10"/>
  <c r="D99" i="10"/>
  <c r="D52" i="5" s="1"/>
  <c r="AH93" i="10"/>
  <c r="AG93" i="10"/>
  <c r="AF93" i="10"/>
  <c r="AE93" i="10"/>
  <c r="AD93" i="10"/>
  <c r="AC93" i="10"/>
  <c r="AB93" i="10"/>
  <c r="AA93" i="10"/>
  <c r="Z93" i="10"/>
  <c r="Y93" i="10"/>
  <c r="X93" i="10"/>
  <c r="W93" i="10"/>
  <c r="V93" i="10"/>
  <c r="U93" i="10"/>
  <c r="T93" i="10"/>
  <c r="S93" i="10"/>
  <c r="R93" i="10"/>
  <c r="Q93" i="10"/>
  <c r="P93" i="10"/>
  <c r="O93" i="10"/>
  <c r="N93" i="10"/>
  <c r="M93" i="10"/>
  <c r="L93" i="10"/>
  <c r="K93" i="10"/>
  <c r="J93" i="10"/>
  <c r="I93" i="10"/>
  <c r="H93" i="10"/>
  <c r="G93" i="10"/>
  <c r="F93" i="10"/>
  <c r="E93" i="10"/>
  <c r="B93" i="10"/>
  <c r="A93" i="10"/>
  <c r="AH92" i="10"/>
  <c r="AG92" i="10"/>
  <c r="AF92" i="10"/>
  <c r="AE92" i="10"/>
  <c r="AD92" i="10"/>
  <c r="AC92" i="10"/>
  <c r="AB92" i="10"/>
  <c r="AA92" i="10"/>
  <c r="Z92" i="10"/>
  <c r="Y92" i="10"/>
  <c r="X92" i="10"/>
  <c r="W92" i="10"/>
  <c r="V92" i="10"/>
  <c r="U92" i="10"/>
  <c r="T92" i="10"/>
  <c r="S92" i="10"/>
  <c r="R92" i="10"/>
  <c r="Q92" i="10"/>
  <c r="P92" i="10"/>
  <c r="O92" i="10"/>
  <c r="N92" i="10"/>
  <c r="M92" i="10"/>
  <c r="L92" i="10"/>
  <c r="K92" i="10"/>
  <c r="J92" i="10"/>
  <c r="I92" i="10"/>
  <c r="H92" i="10"/>
  <c r="G92" i="10"/>
  <c r="F92" i="10"/>
  <c r="E92" i="10"/>
  <c r="B92" i="10"/>
  <c r="A92" i="10"/>
  <c r="AH91" i="10"/>
  <c r="AG91" i="10"/>
  <c r="AF91" i="10"/>
  <c r="AE91" i="10"/>
  <c r="AD91" i="10"/>
  <c r="AC91" i="10"/>
  <c r="AB91" i="10"/>
  <c r="AA91" i="10"/>
  <c r="Z91" i="10"/>
  <c r="Y91" i="10"/>
  <c r="X91" i="10"/>
  <c r="W91" i="10"/>
  <c r="V91" i="10"/>
  <c r="U91" i="10"/>
  <c r="T91" i="10"/>
  <c r="S91" i="10"/>
  <c r="R91" i="10"/>
  <c r="Q91" i="10"/>
  <c r="P91" i="10"/>
  <c r="O91" i="10"/>
  <c r="N91" i="10"/>
  <c r="M91" i="10"/>
  <c r="L91" i="10"/>
  <c r="K91" i="10"/>
  <c r="J91" i="10"/>
  <c r="I91" i="10"/>
  <c r="H91" i="10"/>
  <c r="G91" i="10"/>
  <c r="F91" i="10"/>
  <c r="E91" i="10"/>
  <c r="B91" i="10"/>
  <c r="A91" i="10"/>
  <c r="AH90" i="10"/>
  <c r="AG90" i="10"/>
  <c r="AF90" i="10"/>
  <c r="AE90" i="10"/>
  <c r="AD90" i="10"/>
  <c r="AC90" i="10"/>
  <c r="AB90" i="10"/>
  <c r="AA90" i="10"/>
  <c r="Z90" i="10"/>
  <c r="Y90" i="10"/>
  <c r="X90" i="10"/>
  <c r="W90" i="10"/>
  <c r="V90" i="10"/>
  <c r="U90" i="10"/>
  <c r="T90" i="10"/>
  <c r="S90" i="10"/>
  <c r="R90" i="10"/>
  <c r="Q90" i="10"/>
  <c r="P90" i="10"/>
  <c r="O90" i="10"/>
  <c r="N90" i="10"/>
  <c r="M90" i="10"/>
  <c r="L90" i="10"/>
  <c r="K90" i="10"/>
  <c r="J90" i="10"/>
  <c r="I90" i="10"/>
  <c r="H90" i="10"/>
  <c r="G90" i="10"/>
  <c r="F90" i="10"/>
  <c r="E90" i="10"/>
  <c r="B90" i="10"/>
  <c r="A90" i="10"/>
  <c r="AH89" i="10"/>
  <c r="AG89" i="10"/>
  <c r="AF89" i="10"/>
  <c r="AE89" i="10"/>
  <c r="AD89" i="10"/>
  <c r="AC89" i="10"/>
  <c r="AB89" i="10"/>
  <c r="AA89" i="10"/>
  <c r="Z89" i="10"/>
  <c r="Y89" i="10"/>
  <c r="X89" i="10"/>
  <c r="W89" i="10"/>
  <c r="V89" i="10"/>
  <c r="U89" i="10"/>
  <c r="T89" i="10"/>
  <c r="S89" i="10"/>
  <c r="R89" i="10"/>
  <c r="Q89" i="10"/>
  <c r="P89" i="10"/>
  <c r="O89" i="10"/>
  <c r="N89" i="10"/>
  <c r="M89" i="10"/>
  <c r="L89" i="10"/>
  <c r="K89" i="10"/>
  <c r="J89" i="10"/>
  <c r="I89" i="10"/>
  <c r="H89" i="10"/>
  <c r="G89" i="10"/>
  <c r="F89" i="10"/>
  <c r="E89" i="10"/>
  <c r="B89" i="10"/>
  <c r="A89" i="10"/>
  <c r="AH88" i="10"/>
  <c r="AG88" i="10"/>
  <c r="AF88" i="10"/>
  <c r="AE88" i="10"/>
  <c r="AD88" i="10"/>
  <c r="AC88" i="10"/>
  <c r="AB88" i="10"/>
  <c r="AA88" i="10"/>
  <c r="Z88" i="10"/>
  <c r="Y88" i="10"/>
  <c r="X88" i="10"/>
  <c r="W88" i="10"/>
  <c r="V88" i="10"/>
  <c r="U88" i="10"/>
  <c r="T88" i="10"/>
  <c r="S88" i="10"/>
  <c r="R88" i="10"/>
  <c r="Q88" i="10"/>
  <c r="P88" i="10"/>
  <c r="O88" i="10"/>
  <c r="N88" i="10"/>
  <c r="M88" i="10"/>
  <c r="L88" i="10"/>
  <c r="K88" i="10"/>
  <c r="J88" i="10"/>
  <c r="I88" i="10"/>
  <c r="H88" i="10"/>
  <c r="G88" i="10"/>
  <c r="F88" i="10"/>
  <c r="E88" i="10"/>
  <c r="B88" i="10"/>
  <c r="A88" i="10"/>
  <c r="AH87" i="10"/>
  <c r="AG87" i="10"/>
  <c r="AF87" i="10"/>
  <c r="AE87" i="10"/>
  <c r="AD87" i="10"/>
  <c r="AC87" i="10"/>
  <c r="AB87" i="10"/>
  <c r="AA87" i="10"/>
  <c r="Z87" i="10"/>
  <c r="Y87" i="10"/>
  <c r="X87" i="10"/>
  <c r="W87" i="10"/>
  <c r="V87" i="10"/>
  <c r="U87" i="10"/>
  <c r="T87" i="10"/>
  <c r="S87" i="10"/>
  <c r="R87" i="10"/>
  <c r="Q87" i="10"/>
  <c r="P87" i="10"/>
  <c r="O87" i="10"/>
  <c r="N87" i="10"/>
  <c r="M87" i="10"/>
  <c r="L87" i="10"/>
  <c r="K87" i="10"/>
  <c r="J87" i="10"/>
  <c r="I87" i="10"/>
  <c r="H87" i="10"/>
  <c r="G87" i="10"/>
  <c r="F87" i="10"/>
  <c r="E87" i="10"/>
  <c r="B87" i="10"/>
  <c r="A87" i="10"/>
  <c r="AH86" i="10"/>
  <c r="AG86" i="10"/>
  <c r="AF86" i="10"/>
  <c r="AE86" i="10"/>
  <c r="AD86" i="10"/>
  <c r="AC86" i="10"/>
  <c r="AB86" i="10"/>
  <c r="AA86" i="10"/>
  <c r="Z86" i="10"/>
  <c r="Y86" i="10"/>
  <c r="X86" i="10"/>
  <c r="B73" i="10"/>
  <c r="A73" i="10"/>
  <c r="B72" i="10"/>
  <c r="A72" i="10"/>
  <c r="B71" i="10"/>
  <c r="A71" i="10"/>
  <c r="B70" i="10"/>
  <c r="A70" i="10"/>
  <c r="B69" i="10"/>
  <c r="A69" i="10"/>
  <c r="B68" i="10"/>
  <c r="A68" i="10"/>
  <c r="B67" i="10"/>
  <c r="A67" i="10"/>
  <c r="B66" i="10"/>
  <c r="A66" i="10"/>
  <c r="B65" i="10"/>
  <c r="A65" i="10"/>
  <c r="B64" i="10"/>
  <c r="A64" i="10"/>
  <c r="B63" i="10"/>
  <c r="A63" i="10"/>
  <c r="B62" i="10"/>
  <c r="A62" i="10"/>
  <c r="B61" i="10"/>
  <c r="A61" i="10"/>
  <c r="B60" i="10"/>
  <c r="A60" i="10"/>
  <c r="B59" i="10"/>
  <c r="A59" i="10"/>
  <c r="AH48" i="10"/>
  <c r="AG48" i="10"/>
  <c r="AF48" i="10"/>
  <c r="AE48" i="10"/>
  <c r="AD48" i="10"/>
  <c r="AC48" i="10"/>
  <c r="AB48" i="10"/>
  <c r="AA48" i="10"/>
  <c r="Z48" i="10"/>
  <c r="Y48" i="10"/>
  <c r="X48" i="10"/>
  <c r="W48" i="10"/>
  <c r="V48" i="10"/>
  <c r="U48" i="10"/>
  <c r="T48" i="10"/>
  <c r="S48" i="10"/>
  <c r="R48" i="10"/>
  <c r="Q48" i="10"/>
  <c r="P48" i="10"/>
  <c r="O48" i="10"/>
  <c r="N48" i="10"/>
  <c r="M48" i="10"/>
  <c r="L48" i="10"/>
  <c r="K48" i="10"/>
  <c r="J48" i="10"/>
  <c r="I48" i="10"/>
  <c r="H48" i="10"/>
  <c r="G48" i="10"/>
  <c r="F48" i="10"/>
  <c r="E48" i="10"/>
  <c r="D48" i="10"/>
  <c r="B48" i="10"/>
  <c r="A48" i="10"/>
  <c r="AH47" i="10"/>
  <c r="AG47" i="10"/>
  <c r="AF47" i="10"/>
  <c r="AE47" i="10"/>
  <c r="AD47" i="10"/>
  <c r="AC47" i="10"/>
  <c r="AB47" i="10"/>
  <c r="AA47" i="10"/>
  <c r="Z47" i="10"/>
  <c r="Y47" i="10"/>
  <c r="X47" i="10"/>
  <c r="W47" i="10"/>
  <c r="V47" i="10"/>
  <c r="U47" i="10"/>
  <c r="T47" i="10"/>
  <c r="S47" i="10"/>
  <c r="R47" i="10"/>
  <c r="Q47" i="10"/>
  <c r="P47" i="10"/>
  <c r="O47" i="10"/>
  <c r="N47" i="10"/>
  <c r="M47" i="10"/>
  <c r="L47" i="10"/>
  <c r="K47" i="10"/>
  <c r="J47" i="10"/>
  <c r="I47" i="10"/>
  <c r="H47" i="10"/>
  <c r="G47" i="10"/>
  <c r="F47" i="10"/>
  <c r="E47" i="10"/>
  <c r="D47" i="10"/>
  <c r="B47" i="10"/>
  <c r="A47" i="10"/>
  <c r="AH46" i="10"/>
  <c r="AG46" i="10"/>
  <c r="AF46" i="10"/>
  <c r="AE46" i="10"/>
  <c r="AD46" i="10"/>
  <c r="AC46" i="10"/>
  <c r="AB46" i="10"/>
  <c r="AA46" i="10"/>
  <c r="Z46" i="10"/>
  <c r="Y46" i="10"/>
  <c r="X46" i="10"/>
  <c r="W46" i="10"/>
  <c r="V46" i="10"/>
  <c r="U46" i="10"/>
  <c r="T46" i="10"/>
  <c r="S46" i="10"/>
  <c r="R46" i="10"/>
  <c r="Q46" i="10"/>
  <c r="P46" i="10"/>
  <c r="O46" i="10"/>
  <c r="N46" i="10"/>
  <c r="M46" i="10"/>
  <c r="L46" i="10"/>
  <c r="K46" i="10"/>
  <c r="J46" i="10"/>
  <c r="I46" i="10"/>
  <c r="H46" i="10"/>
  <c r="G46" i="10"/>
  <c r="F46" i="10"/>
  <c r="E46" i="10"/>
  <c r="D46" i="10"/>
  <c r="B46" i="10"/>
  <c r="A46" i="10"/>
  <c r="AH45" i="10"/>
  <c r="AG45" i="10"/>
  <c r="AF45" i="10"/>
  <c r="AE45" i="10"/>
  <c r="AD45" i="10"/>
  <c r="AC45" i="10"/>
  <c r="AB45" i="10"/>
  <c r="AA45" i="10"/>
  <c r="Z45" i="10"/>
  <c r="Y45" i="10"/>
  <c r="X45" i="10"/>
  <c r="W45" i="10"/>
  <c r="V45" i="10"/>
  <c r="U45" i="10"/>
  <c r="T45" i="10"/>
  <c r="S45" i="10"/>
  <c r="R45" i="10"/>
  <c r="Q45" i="10"/>
  <c r="P45" i="10"/>
  <c r="O45" i="10"/>
  <c r="N45" i="10"/>
  <c r="M45" i="10"/>
  <c r="L45" i="10"/>
  <c r="K45" i="10"/>
  <c r="J45" i="10"/>
  <c r="I45" i="10"/>
  <c r="H45" i="10"/>
  <c r="G45" i="10"/>
  <c r="F45" i="10"/>
  <c r="E45" i="10"/>
  <c r="D45" i="10"/>
  <c r="B45" i="10"/>
  <c r="A45" i="10"/>
  <c r="AH44" i="10"/>
  <c r="AG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H44" i="10"/>
  <c r="G44" i="10"/>
  <c r="F44" i="10"/>
  <c r="E44" i="10"/>
  <c r="D44" i="10"/>
  <c r="B44" i="10"/>
  <c r="A44" i="10"/>
  <c r="AH43" i="10"/>
  <c r="AG43" i="10"/>
  <c r="AF43" i="10"/>
  <c r="AE43" i="10"/>
  <c r="AD43" i="10"/>
  <c r="AC43" i="10"/>
  <c r="AB43" i="10"/>
  <c r="AA43" i="10"/>
  <c r="Z43" i="10"/>
  <c r="Y43" i="10"/>
  <c r="X43" i="10"/>
  <c r="W43" i="10"/>
  <c r="V43" i="10"/>
  <c r="U43" i="10"/>
  <c r="T43" i="10"/>
  <c r="S43" i="10"/>
  <c r="R43" i="10"/>
  <c r="Q43" i="10"/>
  <c r="P43" i="10"/>
  <c r="O43" i="10"/>
  <c r="N43" i="10"/>
  <c r="M43" i="10"/>
  <c r="L43" i="10"/>
  <c r="K43" i="10"/>
  <c r="J43" i="10"/>
  <c r="I43" i="10"/>
  <c r="H43" i="10"/>
  <c r="G43" i="10"/>
  <c r="F43" i="10"/>
  <c r="E43" i="10"/>
  <c r="D43" i="10"/>
  <c r="B43" i="10"/>
  <c r="A43" i="10"/>
  <c r="AH42" i="10"/>
  <c r="AG42" i="10"/>
  <c r="AF42" i="10"/>
  <c r="AE42" i="10"/>
  <c r="AD42" i="10"/>
  <c r="AC42" i="10"/>
  <c r="AB42" i="10"/>
  <c r="AA42" i="10"/>
  <c r="Z42" i="10"/>
  <c r="Y42" i="10"/>
  <c r="X42" i="10"/>
  <c r="W42" i="10"/>
  <c r="V42" i="10"/>
  <c r="U42" i="10"/>
  <c r="T42" i="10"/>
  <c r="S42" i="10"/>
  <c r="R42" i="10"/>
  <c r="Q42" i="10"/>
  <c r="P42" i="10"/>
  <c r="O42" i="10"/>
  <c r="N42" i="10"/>
  <c r="M42" i="10"/>
  <c r="L42" i="10"/>
  <c r="K42" i="10"/>
  <c r="J42" i="10"/>
  <c r="I42" i="10"/>
  <c r="H42" i="10"/>
  <c r="G42" i="10"/>
  <c r="F42" i="10"/>
  <c r="E42" i="10"/>
  <c r="D42" i="10"/>
  <c r="B42" i="10"/>
  <c r="A42" i="10"/>
  <c r="AH41" i="10"/>
  <c r="AG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G41" i="10"/>
  <c r="F41" i="10"/>
  <c r="E41" i="10"/>
  <c r="D41" i="10"/>
  <c r="B41" i="10"/>
  <c r="B86" i="10" s="1"/>
  <c r="A41" i="10"/>
  <c r="A86" i="10" s="1"/>
  <c r="AH40" i="10"/>
  <c r="AG40" i="10"/>
  <c r="AF40" i="10"/>
  <c r="AE40" i="10"/>
  <c r="AD40" i="10"/>
  <c r="AC40" i="10"/>
  <c r="AB40" i="10"/>
  <c r="AA40" i="10"/>
  <c r="Z40" i="10"/>
  <c r="Y40" i="10"/>
  <c r="X40" i="10"/>
  <c r="W40" i="10"/>
  <c r="V40" i="10"/>
  <c r="U40" i="10"/>
  <c r="T40" i="10"/>
  <c r="S40" i="10"/>
  <c r="R40" i="10"/>
  <c r="Q40" i="10"/>
  <c r="P40" i="10"/>
  <c r="O40" i="10"/>
  <c r="N40" i="10"/>
  <c r="M40" i="10"/>
  <c r="L40" i="10"/>
  <c r="K40" i="10"/>
  <c r="J40" i="10"/>
  <c r="I40" i="10"/>
  <c r="H40" i="10"/>
  <c r="G40" i="10"/>
  <c r="F40" i="10"/>
  <c r="E40" i="10"/>
  <c r="D40" i="10"/>
  <c r="B40" i="10"/>
  <c r="B85" i="10" s="1"/>
  <c r="A40" i="10"/>
  <c r="A85" i="10" s="1"/>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D39" i="10"/>
  <c r="B39" i="10"/>
  <c r="B84" i="10" s="1"/>
  <c r="A39" i="10"/>
  <c r="A84" i="10" s="1"/>
  <c r="AH38" i="10"/>
  <c r="AG38" i="10"/>
  <c r="AF38" i="10"/>
  <c r="AE38" i="10"/>
  <c r="AD38" i="10"/>
  <c r="AC38" i="10"/>
  <c r="AB38" i="10"/>
  <c r="AA38" i="10"/>
  <c r="Z38" i="10"/>
  <c r="Y38" i="10"/>
  <c r="X38" i="10"/>
  <c r="W38" i="10"/>
  <c r="V38" i="10"/>
  <c r="U38" i="10"/>
  <c r="T38" i="10"/>
  <c r="S38" i="10"/>
  <c r="R38" i="10"/>
  <c r="Q38" i="10"/>
  <c r="P38" i="10"/>
  <c r="O38" i="10"/>
  <c r="N38" i="10"/>
  <c r="M38" i="10"/>
  <c r="L38" i="10"/>
  <c r="K38" i="10"/>
  <c r="J38" i="10"/>
  <c r="I38" i="10"/>
  <c r="H38" i="10"/>
  <c r="G38" i="10"/>
  <c r="F38" i="10"/>
  <c r="E38" i="10"/>
  <c r="D38" i="10"/>
  <c r="B38" i="10"/>
  <c r="B83" i="10" s="1"/>
  <c r="A38" i="10"/>
  <c r="A83" i="10" s="1"/>
  <c r="AH37" i="10"/>
  <c r="AG37" i="10"/>
  <c r="AF37" i="10"/>
  <c r="AE37" i="10"/>
  <c r="AD37" i="10"/>
  <c r="AC37" i="10"/>
  <c r="AB37" i="10"/>
  <c r="AA37" i="10"/>
  <c r="Z37" i="10"/>
  <c r="Y37" i="10"/>
  <c r="X37" i="10"/>
  <c r="W37" i="10"/>
  <c r="V37" i="10"/>
  <c r="U37" i="10"/>
  <c r="T37" i="10"/>
  <c r="S37" i="10"/>
  <c r="R37" i="10"/>
  <c r="Q37" i="10"/>
  <c r="P37" i="10"/>
  <c r="O37" i="10"/>
  <c r="N37" i="10"/>
  <c r="M37" i="10"/>
  <c r="L37" i="10"/>
  <c r="K37" i="10"/>
  <c r="J37" i="10"/>
  <c r="I37" i="10"/>
  <c r="H37" i="10"/>
  <c r="G37" i="10"/>
  <c r="F37" i="10"/>
  <c r="E37" i="10"/>
  <c r="D37" i="10"/>
  <c r="B37" i="10"/>
  <c r="B82" i="10" s="1"/>
  <c r="A37" i="10"/>
  <c r="A82" i="10" s="1"/>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G36" i="10"/>
  <c r="F36" i="10"/>
  <c r="E36" i="10"/>
  <c r="D36" i="10"/>
  <c r="B36" i="10"/>
  <c r="B81" i="10" s="1"/>
  <c r="A36" i="10"/>
  <c r="A81" i="10" s="1"/>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35" i="10"/>
  <c r="B35" i="10"/>
  <c r="B80" i="10" s="1"/>
  <c r="A35" i="10"/>
  <c r="A80" i="10" s="1"/>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D34" i="10"/>
  <c r="B34" i="10"/>
  <c r="B79" i="10" s="1"/>
  <c r="A34" i="10"/>
  <c r="A79" i="10" s="1"/>
  <c r="AH33" i="10"/>
  <c r="AG33" i="10"/>
  <c r="AF33" i="10"/>
  <c r="AE33" i="10"/>
  <c r="AD33" i="10"/>
  <c r="AC33" i="10"/>
  <c r="AB33" i="10"/>
  <c r="AA33" i="10"/>
  <c r="Z33" i="10"/>
  <c r="Y33" i="10"/>
  <c r="X33" i="10"/>
  <c r="W33" i="10"/>
  <c r="V33" i="10"/>
  <c r="U33" i="10"/>
  <c r="T33" i="10"/>
  <c r="S33" i="10"/>
  <c r="R33" i="10"/>
  <c r="Q33" i="10"/>
  <c r="P33" i="10"/>
  <c r="O33" i="10"/>
  <c r="N33" i="10"/>
  <c r="M33" i="10"/>
  <c r="L33" i="10"/>
  <c r="K33" i="10"/>
  <c r="J33" i="10"/>
  <c r="I33" i="10"/>
  <c r="H33" i="10"/>
  <c r="G33" i="10"/>
  <c r="F33" i="10"/>
  <c r="E33" i="10"/>
  <c r="D33" i="10"/>
  <c r="B33" i="10"/>
  <c r="B78" i="10" s="1"/>
  <c r="A33" i="10"/>
  <c r="A78" i="10" s="1"/>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G32" i="10"/>
  <c r="F32" i="10"/>
  <c r="E32" i="10"/>
  <c r="D32" i="10"/>
  <c r="B32" i="10"/>
  <c r="B77" i="10" s="1"/>
  <c r="A32" i="10"/>
  <c r="A77" i="10" s="1"/>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B31" i="10"/>
  <c r="B76" i="10" s="1"/>
  <c r="A31" i="10"/>
  <c r="A76" i="10" s="1"/>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G30" i="10"/>
  <c r="F30" i="10"/>
  <c r="E30" i="10"/>
  <c r="D30" i="10"/>
  <c r="B30" i="10"/>
  <c r="B75" i="10" s="1"/>
  <c r="A30" i="10"/>
  <c r="A75" i="10" s="1"/>
  <c r="AH29" i="10"/>
  <c r="AG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G29" i="10"/>
  <c r="F29" i="10"/>
  <c r="E29" i="10"/>
  <c r="D29" i="10"/>
  <c r="B29" i="10"/>
  <c r="B74" i="10" s="1"/>
  <c r="A29" i="10"/>
  <c r="A74" i="10" s="1"/>
  <c r="AH28" i="10"/>
  <c r="AG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G28" i="10"/>
  <c r="F28" i="10"/>
  <c r="E28" i="10"/>
  <c r="D28" i="10"/>
  <c r="B28" i="10"/>
  <c r="A28"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G27" i="10"/>
  <c r="F27" i="10"/>
  <c r="E27" i="10"/>
  <c r="D27" i="10"/>
  <c r="B27" i="10"/>
  <c r="A27"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G26" i="10"/>
  <c r="F26" i="10"/>
  <c r="E26" i="10"/>
  <c r="D26" i="10"/>
  <c r="B26" i="10"/>
  <c r="A26"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G25" i="10"/>
  <c r="F25" i="10"/>
  <c r="E25" i="10"/>
  <c r="D25" i="10"/>
  <c r="B25" i="10"/>
  <c r="A25"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B24" i="10"/>
  <c r="A24"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B23" i="10"/>
  <c r="A23" i="10"/>
  <c r="AH22" i="10"/>
  <c r="AG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B22" i="10"/>
  <c r="A22" i="10"/>
  <c r="AH21" i="10"/>
  <c r="AG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B21" i="10"/>
  <c r="A21"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B20" i="10"/>
  <c r="A20" i="10"/>
  <c r="AH19" i="10"/>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B19" i="10"/>
  <c r="A19"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B18" i="10"/>
  <c r="A18" i="10"/>
  <c r="AH17"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B17" i="10"/>
  <c r="A17" i="10"/>
  <c r="AH16" i="10"/>
  <c r="AG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B16" i="10"/>
  <c r="A16" i="10"/>
  <c r="AH15" i="10"/>
  <c r="AG15"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B15" i="10"/>
  <c r="A15" i="10"/>
  <c r="AH14" i="10"/>
  <c r="AG14"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B14" i="10"/>
  <c r="A14"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B13" i="10"/>
  <c r="B58" i="10" s="1"/>
  <c r="A13" i="10"/>
  <c r="A58" i="10" s="1"/>
  <c r="AH12" i="10"/>
  <c r="AG12"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B12" i="10"/>
  <c r="B57" i="10" s="1"/>
  <c r="A12" i="10"/>
  <c r="A57" i="10" s="1"/>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B11" i="10"/>
  <c r="B56" i="10" s="1"/>
  <c r="A11" i="10"/>
  <c r="A56" i="10" s="1"/>
  <c r="AH10" i="10"/>
  <c r="AG10"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B10" i="10"/>
  <c r="B55" i="10" s="1"/>
  <c r="A10" i="10"/>
  <c r="A55" i="10" s="1"/>
  <c r="AH9" i="10"/>
  <c r="AG9" i="10"/>
  <c r="AF9"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B9" i="10"/>
  <c r="B54" i="10" s="1"/>
  <c r="A9" i="10"/>
  <c r="A54" i="10" s="1"/>
  <c r="AH8" i="10"/>
  <c r="AG8"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B8" i="10"/>
  <c r="B53" i="10" s="1"/>
  <c r="A8" i="10"/>
  <c r="A53" i="10" s="1"/>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D7" i="10"/>
  <c r="B7" i="10"/>
  <c r="B52" i="10" s="1"/>
  <c r="A7" i="10"/>
  <c r="A52" i="10" s="1"/>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B6" i="10"/>
  <c r="B51" i="10" s="1"/>
  <c r="A6" i="10"/>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B26" i="9"/>
  <c r="B25" i="9"/>
  <c r="H49" i="6"/>
  <c r="E49" i="6"/>
  <c r="D49" i="6"/>
  <c r="J48" i="6"/>
  <c r="I48" i="6"/>
  <c r="K48" i="6" s="1"/>
  <c r="F48" i="5" s="1"/>
  <c r="F48" i="6"/>
  <c r="C48" i="6"/>
  <c r="B48" i="6"/>
  <c r="A48" i="6"/>
  <c r="J47" i="6"/>
  <c r="I47" i="6"/>
  <c r="K47" i="6" s="1"/>
  <c r="F47" i="5" s="1"/>
  <c r="F47" i="6"/>
  <c r="C47" i="6"/>
  <c r="B47" i="6"/>
  <c r="A47" i="6"/>
  <c r="J46" i="6"/>
  <c r="I46" i="6"/>
  <c r="K46" i="6" s="1"/>
  <c r="F46" i="5" s="1"/>
  <c r="F46" i="6"/>
  <c r="C46" i="6"/>
  <c r="B46" i="6"/>
  <c r="A46" i="6"/>
  <c r="J45" i="6"/>
  <c r="I45" i="6"/>
  <c r="K45" i="6" s="1"/>
  <c r="F45" i="5" s="1"/>
  <c r="F45" i="6"/>
  <c r="C45" i="6"/>
  <c r="B45" i="6"/>
  <c r="A45" i="6"/>
  <c r="J44" i="6"/>
  <c r="I44" i="6"/>
  <c r="K44" i="6" s="1"/>
  <c r="F44" i="5" s="1"/>
  <c r="F44" i="6"/>
  <c r="C44" i="6"/>
  <c r="B44" i="6"/>
  <c r="A44" i="6"/>
  <c r="J43" i="6"/>
  <c r="I43" i="6"/>
  <c r="K43" i="6" s="1"/>
  <c r="F43" i="5" s="1"/>
  <c r="F43" i="6"/>
  <c r="C43" i="6"/>
  <c r="B43" i="6"/>
  <c r="A43" i="6"/>
  <c r="J42" i="6"/>
  <c r="I42" i="6"/>
  <c r="K42" i="6" s="1"/>
  <c r="F42" i="5" s="1"/>
  <c r="F42" i="6"/>
  <c r="C42" i="6"/>
  <c r="B42" i="6"/>
  <c r="A42" i="6"/>
  <c r="J41" i="6"/>
  <c r="I41" i="6"/>
  <c r="K41" i="6" s="1"/>
  <c r="F41" i="5" s="1"/>
  <c r="F41" i="6"/>
  <c r="C41" i="6"/>
  <c r="B41" i="6"/>
  <c r="A41" i="6"/>
  <c r="J40" i="6"/>
  <c r="I40" i="6"/>
  <c r="K40" i="6" s="1"/>
  <c r="F40" i="5" s="1"/>
  <c r="F40" i="6"/>
  <c r="C40" i="6"/>
  <c r="B40" i="6"/>
  <c r="A40" i="6"/>
  <c r="J39" i="6"/>
  <c r="I39" i="6"/>
  <c r="K39" i="6" s="1"/>
  <c r="F39" i="5" s="1"/>
  <c r="F39" i="6"/>
  <c r="C39" i="6"/>
  <c r="B39" i="6"/>
  <c r="A39" i="6"/>
  <c r="J38" i="6"/>
  <c r="I38" i="6"/>
  <c r="K38" i="6" s="1"/>
  <c r="F38" i="5" s="1"/>
  <c r="F38" i="6"/>
  <c r="C38" i="6"/>
  <c r="B38" i="6"/>
  <c r="A38" i="6"/>
  <c r="J37" i="6"/>
  <c r="I37" i="6"/>
  <c r="K37" i="6" s="1"/>
  <c r="F37" i="5" s="1"/>
  <c r="F37" i="6"/>
  <c r="C37" i="6"/>
  <c r="B37" i="6"/>
  <c r="A37" i="6"/>
  <c r="J36" i="6"/>
  <c r="I36" i="6"/>
  <c r="K36" i="6" s="1"/>
  <c r="F36" i="5" s="1"/>
  <c r="F36" i="6"/>
  <c r="C36" i="6"/>
  <c r="B36" i="6"/>
  <c r="A36" i="6"/>
  <c r="J35" i="6"/>
  <c r="I35" i="6"/>
  <c r="K35" i="6" s="1"/>
  <c r="F35" i="5" s="1"/>
  <c r="F35" i="6"/>
  <c r="C35" i="6"/>
  <c r="B35" i="6"/>
  <c r="A35" i="6"/>
  <c r="J34" i="6"/>
  <c r="I34" i="6"/>
  <c r="K34" i="6" s="1"/>
  <c r="F34" i="5" s="1"/>
  <c r="F34" i="6"/>
  <c r="C34" i="6"/>
  <c r="B34" i="6"/>
  <c r="A34" i="6"/>
  <c r="J33" i="6"/>
  <c r="I33" i="6"/>
  <c r="K33" i="6" s="1"/>
  <c r="F33" i="5" s="1"/>
  <c r="F33" i="6"/>
  <c r="C33" i="6"/>
  <c r="B33" i="6"/>
  <c r="A33" i="6"/>
  <c r="J32" i="6"/>
  <c r="I32" i="6"/>
  <c r="K32" i="6" s="1"/>
  <c r="F32" i="5" s="1"/>
  <c r="F32" i="6"/>
  <c r="C32" i="6"/>
  <c r="B32" i="6"/>
  <c r="A32" i="6"/>
  <c r="J31" i="6"/>
  <c r="I31" i="6"/>
  <c r="K31" i="6" s="1"/>
  <c r="F31" i="5" s="1"/>
  <c r="F31" i="6"/>
  <c r="C31" i="6"/>
  <c r="B31" i="6"/>
  <c r="A31" i="6"/>
  <c r="J30" i="6"/>
  <c r="I30" i="6"/>
  <c r="K30" i="6" s="1"/>
  <c r="F30" i="5" s="1"/>
  <c r="F30" i="6"/>
  <c r="C30" i="6"/>
  <c r="B30" i="6"/>
  <c r="A30" i="6"/>
  <c r="J29" i="6"/>
  <c r="I29" i="6"/>
  <c r="K29" i="6" s="1"/>
  <c r="F29" i="5" s="1"/>
  <c r="F29" i="6"/>
  <c r="C29" i="6"/>
  <c r="B29" i="6"/>
  <c r="A29" i="6"/>
  <c r="J28" i="6"/>
  <c r="I28" i="6"/>
  <c r="K28" i="6" s="1"/>
  <c r="F28" i="5" s="1"/>
  <c r="F28" i="6"/>
  <c r="C28" i="6"/>
  <c r="B28" i="6"/>
  <c r="A28" i="6"/>
  <c r="J27" i="6"/>
  <c r="I27" i="6"/>
  <c r="K27" i="6" s="1"/>
  <c r="F27" i="5" s="1"/>
  <c r="F27" i="6"/>
  <c r="C27" i="6"/>
  <c r="B27" i="6"/>
  <c r="A27" i="6"/>
  <c r="J26" i="6"/>
  <c r="I26" i="6"/>
  <c r="K26" i="6" s="1"/>
  <c r="F26" i="5" s="1"/>
  <c r="F26" i="6"/>
  <c r="C26" i="6"/>
  <c r="B26" i="6"/>
  <c r="A26" i="6"/>
  <c r="J25" i="6"/>
  <c r="I25" i="6"/>
  <c r="K25" i="6" s="1"/>
  <c r="F25" i="5" s="1"/>
  <c r="F25" i="6"/>
  <c r="C25" i="6"/>
  <c r="B25" i="6"/>
  <c r="A25" i="6"/>
  <c r="J24" i="6"/>
  <c r="I24" i="6"/>
  <c r="K24" i="6" s="1"/>
  <c r="F24" i="5" s="1"/>
  <c r="F24" i="6"/>
  <c r="C24" i="6"/>
  <c r="B24" i="6"/>
  <c r="A24" i="6"/>
  <c r="J23" i="6"/>
  <c r="I23" i="6"/>
  <c r="K23" i="6" s="1"/>
  <c r="F23" i="5" s="1"/>
  <c r="F23" i="6"/>
  <c r="C23" i="6"/>
  <c r="B23" i="6"/>
  <c r="A23" i="6"/>
  <c r="J22" i="6"/>
  <c r="I22" i="6"/>
  <c r="K22" i="6" s="1"/>
  <c r="F22" i="5" s="1"/>
  <c r="F22" i="6"/>
  <c r="C22" i="6"/>
  <c r="B22" i="6"/>
  <c r="A22" i="6"/>
  <c r="J21" i="6"/>
  <c r="I21" i="6"/>
  <c r="K21" i="6" s="1"/>
  <c r="F21" i="5" s="1"/>
  <c r="F21" i="6"/>
  <c r="C21" i="6"/>
  <c r="B21" i="6"/>
  <c r="A21" i="6"/>
  <c r="J20" i="6"/>
  <c r="I20" i="6"/>
  <c r="K20" i="6" s="1"/>
  <c r="F20" i="5" s="1"/>
  <c r="F20" i="6"/>
  <c r="C20" i="6"/>
  <c r="B20" i="6"/>
  <c r="A20" i="6"/>
  <c r="J19" i="6"/>
  <c r="I19" i="6"/>
  <c r="K19" i="6" s="1"/>
  <c r="F19" i="5" s="1"/>
  <c r="F19" i="6"/>
  <c r="C19" i="6"/>
  <c r="B19" i="6"/>
  <c r="A19" i="6"/>
  <c r="J18" i="6"/>
  <c r="I18" i="6"/>
  <c r="K18" i="6" s="1"/>
  <c r="F18" i="5" s="1"/>
  <c r="F18" i="6"/>
  <c r="C18" i="6"/>
  <c r="B18" i="6"/>
  <c r="A18" i="6"/>
  <c r="J17" i="6"/>
  <c r="I17" i="6"/>
  <c r="K17" i="6" s="1"/>
  <c r="F17" i="5" s="1"/>
  <c r="F17" i="6"/>
  <c r="C17" i="6"/>
  <c r="B17" i="6"/>
  <c r="A17" i="6"/>
  <c r="J16" i="6"/>
  <c r="I16" i="6"/>
  <c r="K16" i="6" s="1"/>
  <c r="F16" i="5" s="1"/>
  <c r="F16" i="6"/>
  <c r="C16" i="6"/>
  <c r="B16" i="6"/>
  <c r="A16" i="6"/>
  <c r="J15" i="6"/>
  <c r="I15" i="6"/>
  <c r="K15" i="6" s="1"/>
  <c r="F15" i="5" s="1"/>
  <c r="F15" i="6"/>
  <c r="C15" i="6"/>
  <c r="B15" i="6"/>
  <c r="A15" i="6"/>
  <c r="J14" i="6"/>
  <c r="I14" i="6"/>
  <c r="K14" i="6" s="1"/>
  <c r="F14" i="5" s="1"/>
  <c r="F14" i="6"/>
  <c r="C14" i="6"/>
  <c r="B14" i="6"/>
  <c r="A14" i="6"/>
  <c r="J13" i="6"/>
  <c r="I13" i="6"/>
  <c r="K13" i="6" s="1"/>
  <c r="F13" i="5" s="1"/>
  <c r="F13" i="6"/>
  <c r="C13" i="6"/>
  <c r="B13" i="6"/>
  <c r="A13" i="6"/>
  <c r="J12" i="6"/>
  <c r="I12" i="6"/>
  <c r="K12" i="6" s="1"/>
  <c r="F12" i="5" s="1"/>
  <c r="F12" i="6"/>
  <c r="C12" i="6"/>
  <c r="B12" i="6"/>
  <c r="A12" i="6"/>
  <c r="J11" i="6"/>
  <c r="I11" i="6"/>
  <c r="K11" i="6" s="1"/>
  <c r="F11" i="5" s="1"/>
  <c r="F11" i="6"/>
  <c r="C11" i="6"/>
  <c r="B11" i="6"/>
  <c r="A11" i="6"/>
  <c r="J10" i="6"/>
  <c r="I10" i="6"/>
  <c r="K10" i="6" s="1"/>
  <c r="F10" i="5" s="1"/>
  <c r="F10" i="6"/>
  <c r="C10" i="6"/>
  <c r="B10" i="6"/>
  <c r="A10" i="6"/>
  <c r="J9" i="6"/>
  <c r="I9" i="6"/>
  <c r="K9" i="6" s="1"/>
  <c r="F9" i="5" s="1"/>
  <c r="F9" i="6"/>
  <c r="C9" i="6"/>
  <c r="B9" i="6"/>
  <c r="A9" i="6"/>
  <c r="J8" i="6"/>
  <c r="I8" i="6"/>
  <c r="K8" i="6" s="1"/>
  <c r="F8" i="5" s="1"/>
  <c r="F8" i="6"/>
  <c r="C8" i="6"/>
  <c r="B8" i="6"/>
  <c r="A8" i="6"/>
  <c r="J7" i="6"/>
  <c r="I7" i="6"/>
  <c r="K7" i="6" s="1"/>
  <c r="F7" i="5" s="1"/>
  <c r="F7" i="6"/>
  <c r="C7" i="6"/>
  <c r="B7" i="6"/>
  <c r="A7" i="6"/>
  <c r="J6" i="6"/>
  <c r="J49" i="6" s="1"/>
  <c r="I6" i="6"/>
  <c r="F6" i="6"/>
  <c r="C6" i="6"/>
  <c r="B6" i="6"/>
  <c r="A6" i="6"/>
  <c r="B61" i="5"/>
  <c r="B60" i="5"/>
  <c r="B59" i="5"/>
  <c r="B58" i="5"/>
  <c r="D57" i="5"/>
  <c r="B57" i="5"/>
  <c r="B56" i="5"/>
  <c r="B55" i="5"/>
  <c r="B54" i="5"/>
  <c r="B53" i="5"/>
  <c r="B52" i="5"/>
  <c r="G48" i="5"/>
  <c r="D48" i="5"/>
  <c r="B48" i="5"/>
  <c r="A48" i="5"/>
  <c r="G47" i="5"/>
  <c r="D47" i="5"/>
  <c r="B47" i="5"/>
  <c r="A47" i="5"/>
  <c r="G46" i="5"/>
  <c r="D46" i="5"/>
  <c r="B46" i="5"/>
  <c r="A46" i="5"/>
  <c r="G45" i="5"/>
  <c r="D45" i="5"/>
  <c r="B45" i="5"/>
  <c r="A45" i="5"/>
  <c r="G44" i="5"/>
  <c r="D44" i="5"/>
  <c r="B44" i="5"/>
  <c r="A44" i="5"/>
  <c r="G43" i="5"/>
  <c r="D43" i="5"/>
  <c r="B43" i="5"/>
  <c r="A43" i="5"/>
  <c r="G42" i="5"/>
  <c r="D42" i="5"/>
  <c r="B42" i="5"/>
  <c r="A42" i="5"/>
  <c r="G41" i="5"/>
  <c r="D41" i="5"/>
  <c r="B41" i="5"/>
  <c r="A41" i="5"/>
  <c r="G40" i="5"/>
  <c r="D40" i="5"/>
  <c r="B40" i="5"/>
  <c r="A40" i="5"/>
  <c r="G39" i="5"/>
  <c r="D39" i="5"/>
  <c r="B39" i="5"/>
  <c r="A39" i="5"/>
  <c r="G38" i="5"/>
  <c r="D38" i="5"/>
  <c r="B38" i="5"/>
  <c r="A38" i="5"/>
  <c r="G37" i="5"/>
  <c r="D37" i="5"/>
  <c r="B37" i="5"/>
  <c r="A37" i="5"/>
  <c r="G36" i="5"/>
  <c r="D36" i="5"/>
  <c r="B36" i="5"/>
  <c r="A36" i="5"/>
  <c r="G35" i="5"/>
  <c r="D35" i="5"/>
  <c r="B35" i="5"/>
  <c r="A35" i="5"/>
  <c r="G34" i="5"/>
  <c r="D34" i="5"/>
  <c r="B34" i="5"/>
  <c r="A34" i="5"/>
  <c r="G33" i="5"/>
  <c r="D33" i="5"/>
  <c r="B33" i="5"/>
  <c r="A33" i="5"/>
  <c r="G32" i="5"/>
  <c r="D32" i="5"/>
  <c r="B32" i="5"/>
  <c r="A32" i="5"/>
  <c r="G31" i="5"/>
  <c r="D31" i="5"/>
  <c r="B31" i="5"/>
  <c r="A31" i="5"/>
  <c r="G30" i="5"/>
  <c r="D30" i="5"/>
  <c r="B30" i="5"/>
  <c r="A30" i="5"/>
  <c r="G29" i="5"/>
  <c r="D29" i="5"/>
  <c r="B29" i="5"/>
  <c r="A29" i="5"/>
  <c r="G28" i="5"/>
  <c r="E28" i="5"/>
  <c r="D28" i="5"/>
  <c r="B28" i="5"/>
  <c r="A28" i="5"/>
  <c r="G27" i="5"/>
  <c r="D27" i="5"/>
  <c r="B27" i="5"/>
  <c r="A27" i="5"/>
  <c r="G26" i="5"/>
  <c r="D26" i="5"/>
  <c r="B26" i="5"/>
  <c r="A26" i="5"/>
  <c r="G25" i="5"/>
  <c r="D25" i="5"/>
  <c r="B25" i="5"/>
  <c r="A25" i="5"/>
  <c r="G24" i="5"/>
  <c r="D24" i="5"/>
  <c r="B24" i="5"/>
  <c r="A24" i="5"/>
  <c r="G23" i="5"/>
  <c r="D23" i="5"/>
  <c r="B23" i="5"/>
  <c r="A23" i="5"/>
  <c r="G22" i="5"/>
  <c r="D22" i="5"/>
  <c r="B22" i="5"/>
  <c r="A22" i="5"/>
  <c r="G21" i="5"/>
  <c r="D21" i="5"/>
  <c r="B21" i="5"/>
  <c r="A21" i="5"/>
  <c r="G20" i="5"/>
  <c r="D20" i="5"/>
  <c r="B20" i="5"/>
  <c r="A20" i="5"/>
  <c r="G19" i="5"/>
  <c r="D19" i="5"/>
  <c r="B19" i="5"/>
  <c r="A19" i="5"/>
  <c r="G18" i="5"/>
  <c r="E18" i="5"/>
  <c r="D18" i="5"/>
  <c r="B18" i="5"/>
  <c r="A18" i="5"/>
  <c r="G17" i="5"/>
  <c r="D17" i="5"/>
  <c r="B17" i="5"/>
  <c r="A17" i="5"/>
  <c r="G16" i="5"/>
  <c r="D16" i="5"/>
  <c r="B16" i="5"/>
  <c r="A16" i="5"/>
  <c r="G15" i="5"/>
  <c r="D15" i="5"/>
  <c r="B15" i="5"/>
  <c r="A15" i="5"/>
  <c r="G14" i="5"/>
  <c r="D14" i="5"/>
  <c r="B14" i="5"/>
  <c r="A14" i="5"/>
  <c r="G13" i="5"/>
  <c r="D13" i="5"/>
  <c r="B13" i="5"/>
  <c r="A13" i="5"/>
  <c r="G12" i="5"/>
  <c r="D12" i="5"/>
  <c r="B12" i="5"/>
  <c r="A12" i="5"/>
  <c r="G11" i="5"/>
  <c r="D11" i="5"/>
  <c r="B11" i="5"/>
  <c r="A11" i="5"/>
  <c r="G10" i="5"/>
  <c r="D10" i="5"/>
  <c r="B10" i="5"/>
  <c r="A10" i="5"/>
  <c r="G9" i="5"/>
  <c r="D9" i="5"/>
  <c r="B9" i="5"/>
  <c r="A9" i="5"/>
  <c r="G8" i="5"/>
  <c r="D8" i="5"/>
  <c r="B8" i="5"/>
  <c r="A8" i="5"/>
  <c r="G7" i="5"/>
  <c r="D7" i="5"/>
  <c r="B7" i="5"/>
  <c r="A7" i="5"/>
  <c r="G6" i="5"/>
  <c r="D6" i="5"/>
  <c r="B6" i="5"/>
  <c r="A6" i="5"/>
  <c r="F3" i="5"/>
  <c r="A1" i="5"/>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B11" i="2"/>
  <c r="B9" i="2"/>
  <c r="F106" i="10" l="1"/>
  <c r="E106" i="10"/>
  <c r="D106" i="10"/>
  <c r="D59" i="5" s="1"/>
  <c r="AH105" i="10"/>
  <c r="AG105" i="10"/>
  <c r="AF105" i="10"/>
  <c r="AE105" i="10"/>
  <c r="AD105" i="10"/>
  <c r="AC105" i="10"/>
  <c r="AB105" i="10"/>
  <c r="AA105" i="10"/>
  <c r="Z105" i="10"/>
  <c r="Y105" i="10"/>
  <c r="X105" i="10"/>
  <c r="W105" i="10"/>
  <c r="V105" i="10"/>
  <c r="U105" i="10"/>
  <c r="T105" i="10"/>
  <c r="S105" i="10"/>
  <c r="R105" i="10"/>
  <c r="Q105" i="10"/>
  <c r="P105" i="10"/>
  <c r="O105" i="10"/>
  <c r="N105" i="10"/>
  <c r="M105" i="10"/>
  <c r="L105" i="10"/>
  <c r="K105" i="10"/>
  <c r="J105" i="10"/>
  <c r="I105" i="10"/>
  <c r="H105" i="10"/>
  <c r="G105" i="10"/>
  <c r="F105" i="10"/>
  <c r="D105" i="10"/>
  <c r="D58" i="5" s="1"/>
  <c r="AH104" i="10"/>
  <c r="AG104" i="10"/>
  <c r="AF104" i="10"/>
  <c r="AE104" i="10"/>
  <c r="AD104" i="10"/>
  <c r="AC104" i="10"/>
  <c r="AB104" i="10"/>
  <c r="AA104" i="10"/>
  <c r="Z104" i="10"/>
  <c r="Y104" i="10"/>
  <c r="X104" i="10"/>
  <c r="W104" i="10"/>
  <c r="U106" i="10"/>
  <c r="AH108" i="10"/>
  <c r="K107" i="10"/>
  <c r="J107" i="10"/>
  <c r="I107" i="10"/>
  <c r="A51" i="10"/>
  <c r="H107" i="10"/>
  <c r="G107" i="10"/>
  <c r="F107" i="10"/>
  <c r="E107" i="10"/>
  <c r="D107" i="10"/>
  <c r="D60" i="5" s="1"/>
  <c r="AH106" i="10"/>
  <c r="AG106" i="10"/>
  <c r="AF106" i="10"/>
  <c r="AE106" i="10"/>
  <c r="AD106" i="10"/>
  <c r="AC106" i="10"/>
  <c r="AB106" i="10"/>
  <c r="AA106" i="10"/>
  <c r="Z106" i="10"/>
  <c r="Y106" i="10"/>
  <c r="X106" i="10"/>
  <c r="E105" i="10"/>
  <c r="W106" i="10"/>
  <c r="V106" i="10"/>
  <c r="T106" i="10"/>
  <c r="S106" i="10"/>
  <c r="R106" i="10"/>
  <c r="Q106" i="10"/>
  <c r="P106" i="10"/>
  <c r="O106" i="10"/>
  <c r="N106" i="10"/>
  <c r="M106" i="10"/>
  <c r="L106" i="10"/>
  <c r="K106" i="10"/>
  <c r="J106" i="10"/>
  <c r="I106" i="10"/>
  <c r="H106" i="10"/>
  <c r="AG108" i="10"/>
  <c r="AF108" i="10"/>
  <c r="AE108" i="10"/>
  <c r="AD108" i="10"/>
  <c r="AC108" i="10"/>
  <c r="AB108" i="10"/>
  <c r="AA108" i="10"/>
  <c r="Z108" i="10"/>
  <c r="Y108" i="10"/>
  <c r="X108" i="10"/>
  <c r="W108" i="10"/>
  <c r="V108" i="10"/>
  <c r="U108" i="10"/>
  <c r="T108" i="10"/>
  <c r="S108" i="10"/>
  <c r="R108" i="10"/>
  <c r="Q108" i="10"/>
  <c r="P108" i="10"/>
  <c r="O108" i="10"/>
  <c r="N108" i="10"/>
  <c r="M108" i="10"/>
  <c r="L108" i="10"/>
  <c r="K108" i="10"/>
  <c r="J108" i="10"/>
  <c r="I108" i="10"/>
  <c r="H108" i="10"/>
  <c r="G106" i="10"/>
  <c r="G108" i="10"/>
  <c r="F108" i="10"/>
  <c r="E108" i="10"/>
  <c r="D108" i="10"/>
  <c r="D61" i="5" s="1"/>
  <c r="AH107" i="10"/>
  <c r="AG107" i="10"/>
  <c r="AF107" i="10"/>
  <c r="AE107" i="10"/>
  <c r="AD107" i="10"/>
  <c r="AC107" i="10"/>
  <c r="AB107" i="10"/>
  <c r="AA107" i="10"/>
  <c r="Z107" i="10"/>
  <c r="Y107" i="10"/>
  <c r="X107" i="10"/>
  <c r="W107" i="10"/>
  <c r="V107" i="10"/>
  <c r="U107" i="10"/>
  <c r="T107" i="10"/>
  <c r="S107" i="10"/>
  <c r="R107" i="10"/>
  <c r="Q107" i="10"/>
  <c r="P107" i="10"/>
  <c r="O107" i="10"/>
  <c r="N107" i="10"/>
  <c r="M107" i="10"/>
  <c r="L107" i="10"/>
  <c r="AH119" i="10"/>
  <c r="AH115" i="10"/>
  <c r="AG119" i="10"/>
  <c r="AG115" i="10"/>
  <c r="AF119" i="10"/>
  <c r="AF115" i="10"/>
  <c r="AE119" i="10"/>
  <c r="AE115" i="10"/>
  <c r="AD115" i="10"/>
  <c r="AD119" i="10"/>
  <c r="AC119" i="10"/>
  <c r="AC115" i="10"/>
  <c r="AB119" i="10"/>
  <c r="AB115" i="10"/>
  <c r="AA119" i="10"/>
  <c r="AA113" i="10"/>
  <c r="AA115" i="10"/>
  <c r="Z113" i="10"/>
  <c r="Z115" i="10"/>
  <c r="Z119" i="10"/>
  <c r="Y115" i="10"/>
  <c r="Y113" i="10"/>
  <c r="Y119" i="10"/>
  <c r="X119" i="10"/>
  <c r="X115" i="10"/>
  <c r="X113" i="10"/>
  <c r="W119" i="10"/>
  <c r="W113" i="10"/>
  <c r="W115" i="10"/>
  <c r="W112" i="10"/>
  <c r="V112" i="10"/>
  <c r="V113" i="10"/>
  <c r="V115" i="10"/>
  <c r="V119" i="10"/>
  <c r="U115" i="10"/>
  <c r="U119" i="10"/>
  <c r="U112" i="10"/>
  <c r="U113" i="10"/>
  <c r="T115" i="10"/>
  <c r="T119" i="10"/>
  <c r="T112" i="10"/>
  <c r="T113" i="10"/>
  <c r="S115" i="10"/>
  <c r="S119" i="10"/>
  <c r="S112" i="10"/>
  <c r="S113" i="10"/>
  <c r="R115" i="10"/>
  <c r="R119" i="10"/>
  <c r="R113" i="10"/>
  <c r="R112" i="10"/>
  <c r="Q119" i="10"/>
  <c r="Q113" i="10"/>
  <c r="Q115" i="10"/>
  <c r="Q112" i="10"/>
  <c r="P115" i="10"/>
  <c r="P112" i="10"/>
  <c r="P113" i="10"/>
  <c r="P119" i="10"/>
  <c r="O119" i="10"/>
  <c r="O112" i="10"/>
  <c r="O115" i="10"/>
  <c r="O113" i="10"/>
  <c r="N115" i="10"/>
  <c r="N119" i="10"/>
  <c r="N112" i="10"/>
  <c r="N113" i="10"/>
  <c r="M112" i="10"/>
  <c r="M113" i="10"/>
  <c r="M119" i="10"/>
  <c r="M115" i="10"/>
  <c r="L112" i="10"/>
  <c r="L113" i="10"/>
  <c r="L119" i="10"/>
  <c r="L115" i="10"/>
  <c r="K112" i="10"/>
  <c r="K113" i="10"/>
  <c r="K119" i="10"/>
  <c r="K115" i="10"/>
  <c r="J119" i="10"/>
  <c r="J115" i="10"/>
  <c r="J113" i="10"/>
  <c r="J112" i="10"/>
  <c r="I119" i="10"/>
  <c r="I113" i="10"/>
  <c r="I115" i="10"/>
  <c r="I112" i="10"/>
  <c r="H115" i="10"/>
  <c r="H112" i="10"/>
  <c r="H119" i="10"/>
  <c r="H113" i="10"/>
  <c r="G113" i="10"/>
  <c r="G112" i="10"/>
  <c r="G119" i="10"/>
  <c r="G115" i="10"/>
  <c r="F119" i="10"/>
  <c r="F113" i="10"/>
  <c r="F115" i="10"/>
  <c r="F112" i="10"/>
  <c r="E112" i="10"/>
  <c r="G48" i="6"/>
  <c r="M48" i="6"/>
  <c r="N48" i="6" s="1"/>
  <c r="I48" i="5" s="1"/>
  <c r="P48" i="6"/>
  <c r="O48" i="6"/>
  <c r="L48" i="6"/>
  <c r="G47" i="6"/>
  <c r="P47" i="6"/>
  <c r="L47" i="6"/>
  <c r="O47" i="6"/>
  <c r="M47" i="6"/>
  <c r="N47" i="6" s="1"/>
  <c r="I47" i="5" s="1"/>
  <c r="G46" i="6"/>
  <c r="L46" i="6"/>
  <c r="H46" i="5" s="1"/>
  <c r="O46" i="6"/>
  <c r="P46" i="6"/>
  <c r="R46" i="6"/>
  <c r="M46" i="6"/>
  <c r="N46" i="6" s="1"/>
  <c r="I46" i="5" s="1"/>
  <c r="G45" i="6"/>
  <c r="O45" i="6"/>
  <c r="M45" i="6"/>
  <c r="N45" i="6" s="1"/>
  <c r="I45" i="5" s="1"/>
  <c r="P45" i="6"/>
  <c r="L45" i="6"/>
  <c r="L44" i="6"/>
  <c r="H44" i="5" s="1"/>
  <c r="M44" i="6"/>
  <c r="N44" i="6" s="1"/>
  <c r="I44" i="5" s="1"/>
  <c r="R44" i="6"/>
  <c r="G44" i="6"/>
  <c r="P44" i="6" s="1"/>
  <c r="O44" i="6"/>
  <c r="L43" i="6"/>
  <c r="H43" i="5" s="1"/>
  <c r="M43" i="6"/>
  <c r="N43" i="6" s="1"/>
  <c r="I43" i="5" s="1"/>
  <c r="G43" i="6"/>
  <c r="P43" i="6"/>
  <c r="R43" i="6"/>
  <c r="O43" i="6"/>
  <c r="O42" i="6"/>
  <c r="G42" i="6"/>
  <c r="M42" i="6"/>
  <c r="N42" i="6" s="1"/>
  <c r="I42" i="5" s="1"/>
  <c r="P42" i="6"/>
  <c r="L42" i="6"/>
  <c r="L41" i="6"/>
  <c r="H41" i="5" s="1"/>
  <c r="G41" i="6"/>
  <c r="R41" i="6"/>
  <c r="O41" i="6"/>
  <c r="M41" i="6"/>
  <c r="N41" i="6" s="1"/>
  <c r="I41" i="5" s="1"/>
  <c r="J86" i="10"/>
  <c r="P86" i="10"/>
  <c r="M86" i="10"/>
  <c r="D86" i="10"/>
  <c r="F86" i="10"/>
  <c r="E86" i="10"/>
  <c r="Q86" i="10"/>
  <c r="G86" i="10"/>
  <c r="L86" i="10"/>
  <c r="N86" i="10"/>
  <c r="O86" i="10"/>
  <c r="I86" i="10"/>
  <c r="W86" i="10"/>
  <c r="V86" i="10"/>
  <c r="U86" i="10"/>
  <c r="T86" i="10"/>
  <c r="H86" i="10"/>
  <c r="R86" i="10"/>
  <c r="K86" i="10"/>
  <c r="S86" i="10"/>
  <c r="M40" i="6"/>
  <c r="N40" i="6" s="1"/>
  <c r="I40" i="5" s="1"/>
  <c r="G40" i="6"/>
  <c r="C40" i="5" s="1"/>
  <c r="E40" i="5" s="1"/>
  <c r="P40" i="6"/>
  <c r="O40" i="6"/>
  <c r="L40" i="6"/>
  <c r="Y85" i="10"/>
  <c r="X85" i="10"/>
  <c r="W85" i="10"/>
  <c r="V85" i="10"/>
  <c r="U85" i="10"/>
  <c r="T85" i="10"/>
  <c r="S85" i="10"/>
  <c r="R85" i="10"/>
  <c r="Q85" i="10"/>
  <c r="P85" i="10"/>
  <c r="O85" i="10"/>
  <c r="N85" i="10"/>
  <c r="M85" i="10"/>
  <c r="L85" i="10"/>
  <c r="K85" i="10"/>
  <c r="J85" i="10"/>
  <c r="I85" i="10"/>
  <c r="H85" i="10"/>
  <c r="G85" i="10"/>
  <c r="F85" i="10"/>
  <c r="E85" i="10"/>
  <c r="D85" i="10"/>
  <c r="AH85" i="10"/>
  <c r="AG85" i="10"/>
  <c r="AF85" i="10"/>
  <c r="AE85" i="10"/>
  <c r="AD85" i="10"/>
  <c r="AC85" i="10"/>
  <c r="AB85" i="10"/>
  <c r="AA85" i="10"/>
  <c r="Z85" i="10"/>
  <c r="G39" i="6"/>
  <c r="L39" i="6"/>
  <c r="O39" i="6"/>
  <c r="M39" i="6"/>
  <c r="N39" i="6" s="1"/>
  <c r="I39" i="5" s="1"/>
  <c r="G84" i="10"/>
  <c r="H84" i="10"/>
  <c r="I84" i="10"/>
  <c r="J84" i="10"/>
  <c r="K84" i="10"/>
  <c r="D84" i="10"/>
  <c r="E84" i="10"/>
  <c r="AH84" i="10"/>
  <c r="AG84" i="10"/>
  <c r="AF84" i="10"/>
  <c r="AE84" i="10"/>
  <c r="AD84" i="10"/>
  <c r="AC84" i="10"/>
  <c r="AB84" i="10"/>
  <c r="AA84" i="10"/>
  <c r="Z84" i="10"/>
  <c r="Y84" i="10"/>
  <c r="X84" i="10"/>
  <c r="W84" i="10"/>
  <c r="V84" i="10"/>
  <c r="U84" i="10"/>
  <c r="T84" i="10"/>
  <c r="S84" i="10"/>
  <c r="R84" i="10"/>
  <c r="Q84" i="10"/>
  <c r="P84" i="10"/>
  <c r="O84" i="10"/>
  <c r="N84" i="10"/>
  <c r="F84" i="10"/>
  <c r="M84" i="10"/>
  <c r="L84" i="10"/>
  <c r="O38" i="6"/>
  <c r="G38" i="6"/>
  <c r="L38" i="6"/>
  <c r="H38" i="5" s="1"/>
  <c r="R38" i="6"/>
  <c r="M38" i="6"/>
  <c r="N38" i="6" s="1"/>
  <c r="I38" i="5" s="1"/>
  <c r="I83" i="10"/>
  <c r="J83" i="10"/>
  <c r="F83" i="10"/>
  <c r="K83" i="10"/>
  <c r="L83" i="10"/>
  <c r="O83" i="10"/>
  <c r="P83" i="10"/>
  <c r="Q83" i="10"/>
  <c r="R83" i="10"/>
  <c r="M83" i="10"/>
  <c r="N83" i="10"/>
  <c r="T83" i="10"/>
  <c r="W83" i="10"/>
  <c r="E83" i="10"/>
  <c r="S83" i="10"/>
  <c r="Y83" i="10"/>
  <c r="U83" i="10"/>
  <c r="V83" i="10"/>
  <c r="D83" i="10"/>
  <c r="X83" i="10"/>
  <c r="Z83" i="10"/>
  <c r="AA83" i="10"/>
  <c r="AB83" i="10"/>
  <c r="AC83" i="10"/>
  <c r="AD83" i="10"/>
  <c r="AE83" i="10"/>
  <c r="AF83" i="10"/>
  <c r="G83" i="10"/>
  <c r="AG83" i="10"/>
  <c r="AH83" i="10"/>
  <c r="H83" i="10"/>
  <c r="O37" i="6"/>
  <c r="L37" i="6"/>
  <c r="H37" i="5" s="1"/>
  <c r="G37" i="6"/>
  <c r="C37" i="5" s="1"/>
  <c r="E37" i="5" s="1"/>
  <c r="M37" i="6"/>
  <c r="N37" i="6" s="1"/>
  <c r="I37" i="5" s="1"/>
  <c r="P37" i="6"/>
  <c r="R37" i="6"/>
  <c r="Y82" i="10"/>
  <c r="X82" i="10"/>
  <c r="W82" i="10"/>
  <c r="V82" i="10"/>
  <c r="U82" i="10"/>
  <c r="T82" i="10"/>
  <c r="S82" i="10"/>
  <c r="R82" i="10"/>
  <c r="Q82" i="10"/>
  <c r="AB82" i="10"/>
  <c r="AA82" i="10"/>
  <c r="Z82" i="10"/>
  <c r="N82" i="10"/>
  <c r="G82" i="10"/>
  <c r="D82" i="10"/>
  <c r="E82" i="10"/>
  <c r="F82" i="10"/>
  <c r="H82" i="10"/>
  <c r="I82" i="10"/>
  <c r="J82" i="10"/>
  <c r="K82" i="10"/>
  <c r="L82" i="10"/>
  <c r="M82" i="10"/>
  <c r="O82" i="10"/>
  <c r="P82" i="10"/>
  <c r="AH82" i="10"/>
  <c r="AG82" i="10"/>
  <c r="AF82" i="10"/>
  <c r="AE82" i="10"/>
  <c r="AD82" i="10"/>
  <c r="AC82" i="10"/>
  <c r="G36" i="6"/>
  <c r="C36" i="5" s="1"/>
  <c r="E36" i="5" s="1"/>
  <c r="P36" i="6"/>
  <c r="M36" i="6"/>
  <c r="N36" i="6" s="1"/>
  <c r="I36" i="5" s="1"/>
  <c r="O36" i="6"/>
  <c r="L36" i="6"/>
  <c r="I81" i="10"/>
  <c r="H81" i="10"/>
  <c r="G81" i="10"/>
  <c r="F81" i="10"/>
  <c r="J81" i="10"/>
  <c r="D81" i="10"/>
  <c r="L81" i="10"/>
  <c r="M81" i="10"/>
  <c r="P81" i="10"/>
  <c r="E81" i="10"/>
  <c r="AD81" i="10"/>
  <c r="AH81" i="10"/>
  <c r="AC81" i="10"/>
  <c r="N81" i="10"/>
  <c r="O81" i="10"/>
  <c r="AF81" i="10"/>
  <c r="K81" i="10"/>
  <c r="AE81" i="10"/>
  <c r="T81" i="10"/>
  <c r="AG81" i="10"/>
  <c r="AB81" i="10"/>
  <c r="AA81" i="10"/>
  <c r="Z81" i="10"/>
  <c r="Y81" i="10"/>
  <c r="X81" i="10"/>
  <c r="W81" i="10"/>
  <c r="V81" i="10"/>
  <c r="U81" i="10"/>
  <c r="S81" i="10"/>
  <c r="R81" i="10"/>
  <c r="Q81" i="10"/>
  <c r="O35" i="6"/>
  <c r="L35" i="6"/>
  <c r="H35" i="5" s="1"/>
  <c r="M35" i="6"/>
  <c r="N35" i="6" s="1"/>
  <c r="I35" i="5" s="1"/>
  <c r="R35" i="6"/>
  <c r="G35" i="6"/>
  <c r="AG80" i="10"/>
  <c r="AF80" i="10"/>
  <c r="AE80" i="10"/>
  <c r="AD80" i="10"/>
  <c r="AC80" i="10"/>
  <c r="AA80" i="10"/>
  <c r="Z80" i="10"/>
  <c r="Y80" i="10"/>
  <c r="X80" i="10"/>
  <c r="W80" i="10"/>
  <c r="U80" i="10"/>
  <c r="T80" i="10"/>
  <c r="S80" i="10"/>
  <c r="R80" i="10"/>
  <c r="AB80" i="10"/>
  <c r="O80" i="10"/>
  <c r="D80" i="10"/>
  <c r="E80" i="10"/>
  <c r="F80" i="10"/>
  <c r="G80" i="10"/>
  <c r="H80" i="10"/>
  <c r="I80" i="10"/>
  <c r="V80" i="10"/>
  <c r="J80" i="10"/>
  <c r="K80" i="10"/>
  <c r="L80" i="10"/>
  <c r="M80" i="10"/>
  <c r="N80" i="10"/>
  <c r="P80" i="10"/>
  <c r="Q80" i="10"/>
  <c r="AH80" i="10"/>
  <c r="L34" i="6"/>
  <c r="H34" i="5" s="1"/>
  <c r="R34" i="6"/>
  <c r="O34" i="6"/>
  <c r="M34" i="6"/>
  <c r="N34" i="6" s="1"/>
  <c r="I34" i="5" s="1"/>
  <c r="G34" i="6"/>
  <c r="V79" i="10"/>
  <c r="AG79" i="10"/>
  <c r="AH79" i="10"/>
  <c r="P79" i="10"/>
  <c r="O79" i="10"/>
  <c r="W79" i="10"/>
  <c r="X79" i="10"/>
  <c r="Y79" i="10"/>
  <c r="Z79" i="10"/>
  <c r="AA79" i="10"/>
  <c r="AB79" i="10"/>
  <c r="AC79" i="10"/>
  <c r="N79" i="10"/>
  <c r="M79" i="10"/>
  <c r="L79" i="10"/>
  <c r="AD79" i="10"/>
  <c r="K79" i="10"/>
  <c r="I79" i="10"/>
  <c r="T79" i="10"/>
  <c r="S79" i="10"/>
  <c r="U79" i="10"/>
  <c r="H79" i="10"/>
  <c r="AF79" i="10"/>
  <c r="G79" i="10"/>
  <c r="R79" i="10"/>
  <c r="E79" i="10"/>
  <c r="D79" i="10"/>
  <c r="J79" i="10"/>
  <c r="F79" i="10"/>
  <c r="Q79" i="10"/>
  <c r="AE79" i="10"/>
  <c r="O33" i="6"/>
  <c r="R33" i="6"/>
  <c r="M33" i="6"/>
  <c r="N33" i="6" s="1"/>
  <c r="I33" i="5" s="1"/>
  <c r="L33" i="6"/>
  <c r="H33" i="5" s="1"/>
  <c r="G33" i="6"/>
  <c r="AE78" i="10"/>
  <c r="AD78" i="10"/>
  <c r="AC78" i="10"/>
  <c r="AB78" i="10"/>
  <c r="AA78" i="10"/>
  <c r="Z78" i="10"/>
  <c r="Y78" i="10"/>
  <c r="X78" i="10"/>
  <c r="W78" i="10"/>
  <c r="V78" i="10"/>
  <c r="U78" i="10"/>
  <c r="T78" i="10"/>
  <c r="S78" i="10"/>
  <c r="R78" i="10"/>
  <c r="Q78" i="10"/>
  <c r="P78" i="10"/>
  <c r="O78" i="10"/>
  <c r="N78" i="10"/>
  <c r="M78" i="10"/>
  <c r="L78" i="10"/>
  <c r="K78" i="10"/>
  <c r="J78" i="10"/>
  <c r="I78" i="10"/>
  <c r="H78" i="10"/>
  <c r="G78" i="10"/>
  <c r="F78" i="10"/>
  <c r="E78" i="10"/>
  <c r="D78" i="10"/>
  <c r="AH78" i="10"/>
  <c r="AG78" i="10"/>
  <c r="AF78" i="10"/>
  <c r="L32" i="6"/>
  <c r="H32" i="5" s="1"/>
  <c r="O32" i="6"/>
  <c r="M32" i="6"/>
  <c r="N32" i="6" s="1"/>
  <c r="I32" i="5" s="1"/>
  <c r="R32" i="6"/>
  <c r="G32" i="6"/>
  <c r="AG77" i="10"/>
  <c r="AC77" i="10"/>
  <c r="AD77" i="10"/>
  <c r="AF77" i="10"/>
  <c r="G77" i="10"/>
  <c r="H77" i="10"/>
  <c r="AE77" i="10"/>
  <c r="AA77" i="10"/>
  <c r="AB77" i="10"/>
  <c r="AH77" i="10"/>
  <c r="D77" i="10"/>
  <c r="E77" i="10"/>
  <c r="F77" i="10"/>
  <c r="I77" i="10"/>
  <c r="J77" i="10"/>
  <c r="K77" i="10"/>
  <c r="M77" i="10"/>
  <c r="N77" i="10"/>
  <c r="Z77" i="10"/>
  <c r="O77" i="10"/>
  <c r="P77" i="10"/>
  <c r="Q77" i="10"/>
  <c r="R77" i="10"/>
  <c r="S77" i="10"/>
  <c r="T77" i="10"/>
  <c r="U77" i="10"/>
  <c r="V77" i="10"/>
  <c r="W77" i="10"/>
  <c r="X77" i="10"/>
  <c r="Y77" i="10"/>
  <c r="L77" i="10"/>
  <c r="G31" i="6"/>
  <c r="C31" i="5" s="1"/>
  <c r="E31" i="5" s="1"/>
  <c r="M31" i="6"/>
  <c r="N31" i="6" s="1"/>
  <c r="I31" i="5" s="1"/>
  <c r="P31" i="6"/>
  <c r="L31" i="6"/>
  <c r="H31" i="5" s="1"/>
  <c r="O31" i="6"/>
  <c r="R31" i="6"/>
  <c r="Q76" i="10"/>
  <c r="P76" i="10"/>
  <c r="O76" i="10"/>
  <c r="N76" i="10"/>
  <c r="Z76" i="10"/>
  <c r="AA76" i="10"/>
  <c r="AB76" i="10"/>
  <c r="AC76" i="10"/>
  <c r="AD76" i="10"/>
  <c r="L76" i="10"/>
  <c r="AE76" i="10"/>
  <c r="K76" i="10"/>
  <c r="AF76" i="10"/>
  <c r="AG76" i="10"/>
  <c r="AH76" i="10"/>
  <c r="X76" i="10"/>
  <c r="W76" i="10"/>
  <c r="V76" i="10"/>
  <c r="U76" i="10"/>
  <c r="M76" i="10"/>
  <c r="T76" i="10"/>
  <c r="Y76" i="10"/>
  <c r="J76" i="10"/>
  <c r="I76" i="10"/>
  <c r="H76" i="10"/>
  <c r="G76" i="10"/>
  <c r="F76" i="10"/>
  <c r="E76" i="10"/>
  <c r="D76" i="10"/>
  <c r="S76" i="10"/>
  <c r="R76" i="10"/>
  <c r="G30" i="6"/>
  <c r="C30" i="5" s="1"/>
  <c r="E30" i="5" s="1"/>
  <c r="M30" i="6"/>
  <c r="N30" i="6" s="1"/>
  <c r="I30" i="5" s="1"/>
  <c r="L30" i="6"/>
  <c r="P30" i="6"/>
  <c r="O30" i="6"/>
  <c r="I75" i="10"/>
  <c r="J75" i="10"/>
  <c r="K75" i="10"/>
  <c r="L75" i="10"/>
  <c r="M75" i="10"/>
  <c r="N75" i="10"/>
  <c r="O75" i="10"/>
  <c r="P75" i="10"/>
  <c r="Q75" i="10"/>
  <c r="R75" i="10"/>
  <c r="D75" i="10"/>
  <c r="S75" i="10"/>
  <c r="T75" i="10"/>
  <c r="U75" i="10"/>
  <c r="V75" i="10"/>
  <c r="W75" i="10"/>
  <c r="X75" i="10"/>
  <c r="Y75" i="10"/>
  <c r="Z75" i="10"/>
  <c r="AA75" i="10"/>
  <c r="AB75" i="10"/>
  <c r="AC75" i="10"/>
  <c r="AD75" i="10"/>
  <c r="AE75" i="10"/>
  <c r="AF75" i="10"/>
  <c r="AG75" i="10"/>
  <c r="AH75" i="10"/>
  <c r="F75" i="10"/>
  <c r="G75" i="10"/>
  <c r="E75" i="10"/>
  <c r="H75" i="10"/>
  <c r="M29" i="6"/>
  <c r="N29" i="6" s="1"/>
  <c r="I29" i="5" s="1"/>
  <c r="O29" i="6"/>
  <c r="L29" i="6"/>
  <c r="G29" i="6"/>
  <c r="AE74" i="10"/>
  <c r="AH74" i="10"/>
  <c r="AG74" i="10"/>
  <c r="AF74" i="10"/>
  <c r="AD74" i="10"/>
  <c r="AC74" i="10"/>
  <c r="AB74" i="10"/>
  <c r="AA74" i="10"/>
  <c r="V74" i="10"/>
  <c r="U74" i="10"/>
  <c r="T74" i="10"/>
  <c r="S74" i="10"/>
  <c r="R74" i="10"/>
  <c r="Z74" i="10"/>
  <c r="Q74" i="10"/>
  <c r="Y74" i="10"/>
  <c r="O74" i="10"/>
  <c r="N74" i="10"/>
  <c r="M74" i="10"/>
  <c r="L74" i="10"/>
  <c r="K74" i="10"/>
  <c r="J74" i="10"/>
  <c r="I74" i="10"/>
  <c r="H74" i="10"/>
  <c r="P74" i="10"/>
  <c r="F74" i="10"/>
  <c r="E74" i="10"/>
  <c r="D74" i="10"/>
  <c r="X74" i="10"/>
  <c r="W74" i="10"/>
  <c r="G74" i="10"/>
  <c r="P28" i="6"/>
  <c r="L28" i="6"/>
  <c r="H28" i="5" s="1"/>
  <c r="G28" i="6"/>
  <c r="C28" i="5" s="1"/>
  <c r="O28" i="6"/>
  <c r="M28" i="6"/>
  <c r="N28" i="6" s="1"/>
  <c r="I28" i="5" s="1"/>
  <c r="R28" i="6"/>
  <c r="J73" i="10"/>
  <c r="I73" i="10"/>
  <c r="H73" i="10"/>
  <c r="G73" i="10"/>
  <c r="F73" i="10"/>
  <c r="E73" i="10"/>
  <c r="D73" i="10"/>
  <c r="R73" i="10"/>
  <c r="Q73" i="10"/>
  <c r="P73" i="10"/>
  <c r="O73" i="10"/>
  <c r="N73" i="10"/>
  <c r="M73" i="10"/>
  <c r="L73" i="10"/>
  <c r="K73" i="10"/>
  <c r="AD73" i="10"/>
  <c r="AH73" i="10"/>
  <c r="AG73" i="10"/>
  <c r="AF73" i="10"/>
  <c r="AE73" i="10"/>
  <c r="AC73" i="10"/>
  <c r="AB73" i="10"/>
  <c r="AA73" i="10"/>
  <c r="Z73" i="10"/>
  <c r="Y73" i="10"/>
  <c r="X73" i="10"/>
  <c r="W73" i="10"/>
  <c r="V73" i="10"/>
  <c r="U73" i="10"/>
  <c r="T73" i="10"/>
  <c r="S73" i="10"/>
  <c r="O27" i="6"/>
  <c r="M27" i="6"/>
  <c r="N27" i="6" s="1"/>
  <c r="I27" i="5" s="1"/>
  <c r="G27" i="6"/>
  <c r="C27" i="5" s="1"/>
  <c r="E27" i="5" s="1"/>
  <c r="P27" i="6"/>
  <c r="L27" i="6"/>
  <c r="AE72" i="10"/>
  <c r="AD72" i="10"/>
  <c r="AH72" i="10"/>
  <c r="AB72" i="10"/>
  <c r="AA72" i="10"/>
  <c r="AC72" i="10"/>
  <c r="L72" i="10"/>
  <c r="K72" i="10"/>
  <c r="J72" i="10"/>
  <c r="I72" i="10"/>
  <c r="H72" i="10"/>
  <c r="F72" i="10"/>
  <c r="Q72" i="10"/>
  <c r="E72" i="10"/>
  <c r="D72" i="10"/>
  <c r="G72" i="10"/>
  <c r="AG72" i="10"/>
  <c r="Z72" i="10"/>
  <c r="Y72" i="10"/>
  <c r="AF72" i="10"/>
  <c r="X72" i="10"/>
  <c r="W72" i="10"/>
  <c r="V72" i="10"/>
  <c r="U72" i="10"/>
  <c r="T72" i="10"/>
  <c r="S72" i="10"/>
  <c r="R72" i="10"/>
  <c r="P72" i="10"/>
  <c r="O72" i="10"/>
  <c r="N72" i="10"/>
  <c r="M72" i="10"/>
  <c r="P26" i="6"/>
  <c r="M26" i="6"/>
  <c r="N26" i="6" s="1"/>
  <c r="I26" i="5" s="1"/>
  <c r="G26" i="6"/>
  <c r="C26" i="5" s="1"/>
  <c r="E26" i="5" s="1"/>
  <c r="L26" i="6"/>
  <c r="O26" i="6"/>
  <c r="Q71" i="10"/>
  <c r="R71" i="10"/>
  <c r="S71" i="10"/>
  <c r="T71" i="10"/>
  <c r="D71" i="10"/>
  <c r="U71" i="10"/>
  <c r="V71" i="10"/>
  <c r="W71" i="10"/>
  <c r="Y71" i="10"/>
  <c r="Z71" i="10"/>
  <c r="AA71" i="10"/>
  <c r="AC71" i="10"/>
  <c r="AD71" i="10"/>
  <c r="AE71" i="10"/>
  <c r="AF71" i="10"/>
  <c r="AG71" i="10"/>
  <c r="AH71" i="10"/>
  <c r="AB71" i="10"/>
  <c r="X71" i="10"/>
  <c r="E71" i="10"/>
  <c r="F71" i="10"/>
  <c r="G71" i="10"/>
  <c r="H71" i="10"/>
  <c r="I71" i="10"/>
  <c r="J71" i="10"/>
  <c r="K71" i="10"/>
  <c r="L71" i="10"/>
  <c r="M71" i="10"/>
  <c r="N71" i="10"/>
  <c r="O71" i="10"/>
  <c r="P71" i="10"/>
  <c r="M25" i="6"/>
  <c r="N25" i="6" s="1"/>
  <c r="I25" i="5" s="1"/>
  <c r="L25" i="6"/>
  <c r="H25" i="5" s="1"/>
  <c r="O25" i="6"/>
  <c r="G25" i="6"/>
  <c r="R25" i="6"/>
  <c r="AA70" i="10"/>
  <c r="Z70" i="10"/>
  <c r="Y70" i="10"/>
  <c r="X70" i="10"/>
  <c r="G70" i="10"/>
  <c r="W70" i="10"/>
  <c r="V70" i="10"/>
  <c r="U70" i="10"/>
  <c r="T70" i="10"/>
  <c r="S70" i="10"/>
  <c r="AB70" i="10"/>
  <c r="R70" i="10"/>
  <c r="Q70" i="10"/>
  <c r="P70" i="10"/>
  <c r="O70" i="10"/>
  <c r="N70" i="10"/>
  <c r="M70" i="10"/>
  <c r="L70" i="10"/>
  <c r="K70" i="10"/>
  <c r="J70" i="10"/>
  <c r="I70" i="10"/>
  <c r="H70" i="10"/>
  <c r="F70" i="10"/>
  <c r="E70" i="10"/>
  <c r="D70" i="10"/>
  <c r="AH70" i="10"/>
  <c r="AG70" i="10"/>
  <c r="AF70" i="10"/>
  <c r="AE70" i="10"/>
  <c r="AD70" i="10"/>
  <c r="AC70" i="10"/>
  <c r="O24" i="6"/>
  <c r="G24" i="6"/>
  <c r="C24" i="5" s="1"/>
  <c r="E24" i="5" s="1"/>
  <c r="L24" i="6"/>
  <c r="H24" i="5" s="1"/>
  <c r="R24" i="6"/>
  <c r="P24" i="6"/>
  <c r="M24" i="6"/>
  <c r="N24" i="6" s="1"/>
  <c r="I24" i="5" s="1"/>
  <c r="N69" i="10"/>
  <c r="O69" i="10"/>
  <c r="P69" i="10"/>
  <c r="Q69" i="10"/>
  <c r="R69" i="10"/>
  <c r="S69" i="10"/>
  <c r="T69" i="10"/>
  <c r="U69" i="10"/>
  <c r="W69" i="10"/>
  <c r="Y69" i="10"/>
  <c r="Z69" i="10"/>
  <c r="AA69" i="10"/>
  <c r="AB69" i="10"/>
  <c r="AC69" i="10"/>
  <c r="AD69" i="10"/>
  <c r="V69" i="10"/>
  <c r="H69" i="10"/>
  <c r="X69" i="10"/>
  <c r="G69" i="10"/>
  <c r="F69" i="10"/>
  <c r="J69" i="10"/>
  <c r="K69" i="10"/>
  <c r="I69" i="10"/>
  <c r="AH69" i="10"/>
  <c r="L69" i="10"/>
  <c r="AF69" i="10"/>
  <c r="E69" i="10"/>
  <c r="AE69" i="10"/>
  <c r="D69" i="10"/>
  <c r="AG69" i="10"/>
  <c r="M69" i="10"/>
  <c r="M23" i="6"/>
  <c r="N23" i="6" s="1"/>
  <c r="I23" i="5" s="1"/>
  <c r="O23" i="6"/>
  <c r="G23" i="6"/>
  <c r="R23" i="6"/>
  <c r="P23" i="6"/>
  <c r="L23" i="6"/>
  <c r="W68" i="10"/>
  <c r="V68" i="10"/>
  <c r="U68" i="10"/>
  <c r="T68" i="10"/>
  <c r="S68" i="10"/>
  <c r="R68" i="10"/>
  <c r="Q68" i="10"/>
  <c r="P68" i="10"/>
  <c r="O68" i="10"/>
  <c r="N68" i="10"/>
  <c r="M68" i="10"/>
  <c r="L68" i="10"/>
  <c r="K68" i="10"/>
  <c r="J68" i="10"/>
  <c r="I68" i="10"/>
  <c r="H68" i="10"/>
  <c r="G68" i="10"/>
  <c r="F68" i="10"/>
  <c r="E68" i="10"/>
  <c r="AH68" i="10"/>
  <c r="AG68" i="10"/>
  <c r="AF68" i="10"/>
  <c r="AE68" i="10"/>
  <c r="AD68" i="10"/>
  <c r="AC68" i="10"/>
  <c r="AB68" i="10"/>
  <c r="AA68" i="10"/>
  <c r="Z68" i="10"/>
  <c r="Y68" i="10"/>
  <c r="X68" i="10"/>
  <c r="O22" i="6"/>
  <c r="G22" i="6"/>
  <c r="C22" i="5" s="1"/>
  <c r="E22" i="5" s="1"/>
  <c r="L22" i="6"/>
  <c r="M22" i="6"/>
  <c r="N22" i="6" s="1"/>
  <c r="I22" i="5" s="1"/>
  <c r="P22" i="6"/>
  <c r="F67" i="10"/>
  <c r="AH67" i="10"/>
  <c r="E67" i="10"/>
  <c r="D67" i="10"/>
  <c r="AG67" i="10"/>
  <c r="AE67" i="10"/>
  <c r="AD67" i="10"/>
  <c r="AC67" i="10"/>
  <c r="AB67" i="10"/>
  <c r="AA67" i="10"/>
  <c r="Z67" i="10"/>
  <c r="Y67" i="10"/>
  <c r="X67" i="10"/>
  <c r="W67" i="10"/>
  <c r="V67" i="10"/>
  <c r="U67" i="10"/>
  <c r="T67" i="10"/>
  <c r="S67" i="10"/>
  <c r="R67" i="10"/>
  <c r="Q67" i="10"/>
  <c r="P67" i="10"/>
  <c r="O67" i="10"/>
  <c r="AF67" i="10"/>
  <c r="N67" i="10"/>
  <c r="M67" i="10"/>
  <c r="L67" i="10"/>
  <c r="K67" i="10"/>
  <c r="J67" i="10"/>
  <c r="I67" i="10"/>
  <c r="H67" i="10"/>
  <c r="G67" i="10"/>
  <c r="O21" i="6"/>
  <c r="L21" i="6"/>
  <c r="H21" i="5" s="1"/>
  <c r="M21" i="6"/>
  <c r="N21" i="6" s="1"/>
  <c r="I21" i="5" s="1"/>
  <c r="R21" i="6"/>
  <c r="G21" i="6"/>
  <c r="U66" i="10"/>
  <c r="T66" i="10"/>
  <c r="S66" i="10"/>
  <c r="R66" i="10"/>
  <c r="Q66" i="10"/>
  <c r="P66" i="10"/>
  <c r="O66" i="10"/>
  <c r="N66" i="10"/>
  <c r="M66" i="10"/>
  <c r="L66" i="10"/>
  <c r="K66" i="10"/>
  <c r="J66" i="10"/>
  <c r="I66" i="10"/>
  <c r="H66" i="10"/>
  <c r="G66" i="10"/>
  <c r="F66" i="10"/>
  <c r="E66" i="10"/>
  <c r="D66" i="10"/>
  <c r="AH66" i="10"/>
  <c r="AG66" i="10"/>
  <c r="AF66" i="10"/>
  <c r="AE66" i="10"/>
  <c r="AD66" i="10"/>
  <c r="AC66" i="10"/>
  <c r="AB66" i="10"/>
  <c r="AA66" i="10"/>
  <c r="Z66" i="10"/>
  <c r="Y66" i="10"/>
  <c r="X66" i="10"/>
  <c r="W66" i="10"/>
  <c r="V66" i="10"/>
  <c r="O20" i="6"/>
  <c r="L20" i="6"/>
  <c r="M20" i="6"/>
  <c r="N20" i="6" s="1"/>
  <c r="I20" i="5" s="1"/>
  <c r="G20" i="6"/>
  <c r="X65" i="10"/>
  <c r="M65" i="10"/>
  <c r="L65" i="10"/>
  <c r="K65" i="10"/>
  <c r="I65" i="10"/>
  <c r="H65" i="10"/>
  <c r="J65" i="10"/>
  <c r="AE65" i="10"/>
  <c r="AF65" i="10"/>
  <c r="AG65" i="10"/>
  <c r="G65" i="10"/>
  <c r="F65" i="10"/>
  <c r="N65" i="10"/>
  <c r="AH65" i="10"/>
  <c r="E65" i="10"/>
  <c r="D65" i="10"/>
  <c r="V65" i="10"/>
  <c r="U65" i="10"/>
  <c r="S65" i="10"/>
  <c r="R65" i="10"/>
  <c r="W65" i="10"/>
  <c r="Z65" i="10"/>
  <c r="Y65" i="10"/>
  <c r="O65" i="10"/>
  <c r="AA65" i="10"/>
  <c r="AB65" i="10"/>
  <c r="AC65" i="10"/>
  <c r="Q65" i="10"/>
  <c r="P65" i="10"/>
  <c r="AD65" i="10"/>
  <c r="T65" i="10"/>
  <c r="O19" i="6"/>
  <c r="M19" i="6"/>
  <c r="N19" i="6" s="1"/>
  <c r="I19" i="5" s="1"/>
  <c r="L19" i="6"/>
  <c r="G19" i="6"/>
  <c r="C19" i="5" s="1"/>
  <c r="E19" i="5" s="1"/>
  <c r="P19" i="6"/>
  <c r="V64" i="10"/>
  <c r="Z64" i="10"/>
  <c r="AA64" i="10"/>
  <c r="W64" i="10"/>
  <c r="X64" i="10"/>
  <c r="Y64" i="10"/>
  <c r="AC64" i="10"/>
  <c r="AB64" i="10"/>
  <c r="T64" i="10"/>
  <c r="P64" i="10"/>
  <c r="AH64" i="10"/>
  <c r="AG64" i="10"/>
  <c r="AF64" i="10"/>
  <c r="AE64" i="10"/>
  <c r="AD64" i="10"/>
  <c r="R64" i="10"/>
  <c r="D64" i="10"/>
  <c r="E64" i="10"/>
  <c r="F64" i="10"/>
  <c r="G64" i="10"/>
  <c r="Q64" i="10"/>
  <c r="I64" i="10"/>
  <c r="J64" i="10"/>
  <c r="K64" i="10"/>
  <c r="L64" i="10"/>
  <c r="M64" i="10"/>
  <c r="N64" i="10"/>
  <c r="O64" i="10"/>
  <c r="S64" i="10"/>
  <c r="U64" i="10"/>
  <c r="H64" i="10"/>
  <c r="G18" i="6"/>
  <c r="C18" i="5" s="1"/>
  <c r="R18" i="6"/>
  <c r="O18" i="6"/>
  <c r="P18" i="6"/>
  <c r="L18" i="6"/>
  <c r="H18" i="5" s="1"/>
  <c r="M18" i="6"/>
  <c r="N18" i="6" s="1"/>
  <c r="I18" i="5" s="1"/>
  <c r="Z63" i="10"/>
  <c r="Y63" i="10"/>
  <c r="X63" i="10"/>
  <c r="W63" i="10"/>
  <c r="AB63" i="10"/>
  <c r="U63" i="10"/>
  <c r="T63" i="10"/>
  <c r="S63" i="10"/>
  <c r="R63" i="10"/>
  <c r="Q63" i="10"/>
  <c r="V63" i="10"/>
  <c r="AC63" i="10"/>
  <c r="AH63" i="10"/>
  <c r="AD63" i="10"/>
  <c r="AA63" i="10"/>
  <c r="P63" i="10"/>
  <c r="O63" i="10"/>
  <c r="N63" i="10"/>
  <c r="M63" i="10"/>
  <c r="L63" i="10"/>
  <c r="K63" i="10"/>
  <c r="J63" i="10"/>
  <c r="I63" i="10"/>
  <c r="H63" i="10"/>
  <c r="G63" i="10"/>
  <c r="F63" i="10"/>
  <c r="E63" i="10"/>
  <c r="D63" i="10"/>
  <c r="AE63" i="10"/>
  <c r="AF63" i="10"/>
  <c r="AG63" i="10"/>
  <c r="G17" i="6"/>
  <c r="C17" i="5" s="1"/>
  <c r="E17" i="5" s="1"/>
  <c r="M17" i="6"/>
  <c r="N17" i="6" s="1"/>
  <c r="I17" i="5" s="1"/>
  <c r="O17" i="6"/>
  <c r="L17" i="6"/>
  <c r="P17" i="6"/>
  <c r="AG62" i="10"/>
  <c r="AE62" i="10"/>
  <c r="AD62" i="10"/>
  <c r="AC62" i="10"/>
  <c r="AB62" i="10"/>
  <c r="AA62" i="10"/>
  <c r="Z62" i="10"/>
  <c r="Y62" i="10"/>
  <c r="X62" i="10"/>
  <c r="W62" i="10"/>
  <c r="V62" i="10"/>
  <c r="U62" i="10"/>
  <c r="AH62" i="10"/>
  <c r="T62" i="10"/>
  <c r="S62" i="10"/>
  <c r="Q62" i="10"/>
  <c r="D62" i="10"/>
  <c r="E62" i="10"/>
  <c r="F62" i="10"/>
  <c r="G62" i="10"/>
  <c r="H62" i="10"/>
  <c r="I62" i="10"/>
  <c r="J62" i="10"/>
  <c r="K62" i="10"/>
  <c r="L62" i="10"/>
  <c r="M62" i="10"/>
  <c r="N62" i="10"/>
  <c r="O62" i="10"/>
  <c r="R62" i="10"/>
  <c r="AF62" i="10"/>
  <c r="P62" i="10"/>
  <c r="L16" i="6"/>
  <c r="H16" i="5" s="1"/>
  <c r="R16" i="6"/>
  <c r="G16" i="6"/>
  <c r="C16" i="5" s="1"/>
  <c r="E16" i="5" s="1"/>
  <c r="P16" i="6"/>
  <c r="M16" i="6"/>
  <c r="N16" i="6" s="1"/>
  <c r="I16" i="5" s="1"/>
  <c r="O16" i="6"/>
  <c r="K61" i="10"/>
  <c r="L61" i="10"/>
  <c r="M61" i="10"/>
  <c r="N61" i="10"/>
  <c r="O61" i="10"/>
  <c r="P61" i="10"/>
  <c r="Q61" i="10"/>
  <c r="R61" i="10"/>
  <c r="S61" i="10"/>
  <c r="T61" i="10"/>
  <c r="U61" i="10"/>
  <c r="V61" i="10"/>
  <c r="W61" i="10"/>
  <c r="X61" i="10"/>
  <c r="AA61" i="10"/>
  <c r="AB61" i="10"/>
  <c r="AC61" i="10"/>
  <c r="AD61" i="10"/>
  <c r="AE61" i="10"/>
  <c r="AF61" i="10"/>
  <c r="AG61" i="10"/>
  <c r="AH61" i="10"/>
  <c r="Z61" i="10"/>
  <c r="H61" i="10"/>
  <c r="I61" i="10"/>
  <c r="J61" i="10"/>
  <c r="Y61" i="10"/>
  <c r="D61" i="10"/>
  <c r="E61" i="10"/>
  <c r="F61" i="10"/>
  <c r="G61" i="10"/>
  <c r="M15" i="6"/>
  <c r="N15" i="6" s="1"/>
  <c r="I15" i="5" s="1"/>
  <c r="G15" i="6"/>
  <c r="C15" i="5" s="1"/>
  <c r="E15" i="5" s="1"/>
  <c r="O15" i="6"/>
  <c r="P15" i="6"/>
  <c r="L15" i="6"/>
  <c r="V60" i="10"/>
  <c r="U60" i="10"/>
  <c r="T60" i="10"/>
  <c r="S60" i="10"/>
  <c r="R60" i="10"/>
  <c r="Q60" i="10"/>
  <c r="P60" i="10"/>
  <c r="O60" i="10"/>
  <c r="N60" i="10"/>
  <c r="M60" i="10"/>
  <c r="L60" i="10"/>
  <c r="K60" i="10"/>
  <c r="J60" i="10"/>
  <c r="I60" i="10"/>
  <c r="H60" i="10"/>
  <c r="G60" i="10"/>
  <c r="F60" i="10"/>
  <c r="E60" i="10"/>
  <c r="D60" i="10"/>
  <c r="AH60" i="10"/>
  <c r="AG60" i="10"/>
  <c r="AF60" i="10"/>
  <c r="AE60" i="10"/>
  <c r="AD60" i="10"/>
  <c r="AC60" i="10"/>
  <c r="AB60" i="10"/>
  <c r="AA60" i="10"/>
  <c r="Z60" i="10"/>
  <c r="Y60" i="10"/>
  <c r="X60" i="10"/>
  <c r="W60" i="10"/>
  <c r="G14" i="6"/>
  <c r="C14" i="5" s="1"/>
  <c r="E14" i="5" s="1"/>
  <c r="O14" i="6"/>
  <c r="L14" i="6"/>
  <c r="H14" i="5" s="1"/>
  <c r="R14" i="6"/>
  <c r="P14" i="6"/>
  <c r="M14" i="6"/>
  <c r="N14" i="6" s="1"/>
  <c r="I14" i="5" s="1"/>
  <c r="AH59" i="10"/>
  <c r="AG59" i="10"/>
  <c r="AF59" i="10"/>
  <c r="AE59" i="10"/>
  <c r="AD59" i="10"/>
  <c r="AC59" i="10"/>
  <c r="AB59" i="10"/>
  <c r="AA59" i="10"/>
  <c r="Z59" i="10"/>
  <c r="X59" i="10"/>
  <c r="W59" i="10"/>
  <c r="V59" i="10"/>
  <c r="U59" i="10"/>
  <c r="T59" i="10"/>
  <c r="S59" i="10"/>
  <c r="R59" i="10"/>
  <c r="Q59" i="10"/>
  <c r="P59" i="10"/>
  <c r="O59" i="10"/>
  <c r="N59" i="10"/>
  <c r="M59" i="10"/>
  <c r="L59" i="10"/>
  <c r="K59" i="10"/>
  <c r="J59" i="10"/>
  <c r="I59" i="10"/>
  <c r="H59" i="10"/>
  <c r="G59" i="10"/>
  <c r="F59" i="10"/>
  <c r="E59" i="10"/>
  <c r="D59" i="10"/>
  <c r="Y59" i="10"/>
  <c r="O13" i="6"/>
  <c r="L13" i="6"/>
  <c r="G13" i="6"/>
  <c r="M13" i="6"/>
  <c r="N13" i="6" s="1"/>
  <c r="I13" i="5" s="1"/>
  <c r="O58" i="10"/>
  <c r="N58" i="10"/>
  <c r="M58" i="10"/>
  <c r="L58" i="10"/>
  <c r="K58" i="10"/>
  <c r="J58" i="10"/>
  <c r="I58" i="10"/>
  <c r="H58" i="10"/>
  <c r="G58" i="10"/>
  <c r="F58" i="10"/>
  <c r="E58" i="10"/>
  <c r="D58" i="10"/>
  <c r="AB58" i="10"/>
  <c r="AH58" i="10"/>
  <c r="AC58" i="10"/>
  <c r="AD58" i="10"/>
  <c r="U58" i="10"/>
  <c r="T58" i="10"/>
  <c r="S58" i="10"/>
  <c r="R58" i="10"/>
  <c r="Q58" i="10"/>
  <c r="Z58" i="10"/>
  <c r="V58" i="10"/>
  <c r="AE58" i="10"/>
  <c r="Y58" i="10"/>
  <c r="AF58" i="10"/>
  <c r="X58" i="10"/>
  <c r="W58" i="10"/>
  <c r="AA58" i="10"/>
  <c r="AG58" i="10"/>
  <c r="P58" i="10"/>
  <c r="L12" i="6"/>
  <c r="H12" i="5" s="1"/>
  <c r="O12" i="6"/>
  <c r="M12" i="6"/>
  <c r="N12" i="6" s="1"/>
  <c r="I12" i="5" s="1"/>
  <c r="R12" i="6"/>
  <c r="G12" i="6"/>
  <c r="T57" i="10"/>
  <c r="U57" i="10"/>
  <c r="V57" i="10"/>
  <c r="P57" i="10"/>
  <c r="D57" i="10"/>
  <c r="I57" i="10"/>
  <c r="H57" i="10"/>
  <c r="G57" i="10"/>
  <c r="W57" i="10"/>
  <c r="E57" i="10"/>
  <c r="X57" i="10"/>
  <c r="Y57" i="10"/>
  <c r="AH57" i="10"/>
  <c r="S57" i="10"/>
  <c r="R57" i="10"/>
  <c r="Q57" i="10"/>
  <c r="AG57" i="10"/>
  <c r="O57" i="10"/>
  <c r="N57" i="10"/>
  <c r="M57" i="10"/>
  <c r="L57" i="10"/>
  <c r="K57" i="10"/>
  <c r="J57" i="10"/>
  <c r="F57" i="10"/>
  <c r="Z57" i="10"/>
  <c r="AA57" i="10"/>
  <c r="AB57" i="10"/>
  <c r="AC57" i="10"/>
  <c r="AD57" i="10"/>
  <c r="AE57" i="10"/>
  <c r="AF57" i="10"/>
  <c r="G11" i="6"/>
  <c r="C11" i="5" s="1"/>
  <c r="E11" i="5" s="1"/>
  <c r="O11" i="6"/>
  <c r="M11" i="6"/>
  <c r="N11" i="6" s="1"/>
  <c r="I11" i="5" s="1"/>
  <c r="L11" i="6"/>
  <c r="P11" i="6"/>
  <c r="W56" i="10"/>
  <c r="V56" i="10"/>
  <c r="U56" i="10"/>
  <c r="T56" i="10"/>
  <c r="S56" i="10"/>
  <c r="O56" i="10"/>
  <c r="P56" i="10"/>
  <c r="I56" i="10"/>
  <c r="H56" i="10"/>
  <c r="G56" i="10"/>
  <c r="F56" i="10"/>
  <c r="E56" i="10"/>
  <c r="D56" i="10"/>
  <c r="Q56" i="10"/>
  <c r="R56" i="10"/>
  <c r="N56" i="10"/>
  <c r="AH56" i="10"/>
  <c r="AG56" i="10"/>
  <c r="AF56" i="10"/>
  <c r="AE56" i="10"/>
  <c r="J56" i="10"/>
  <c r="AC56" i="10"/>
  <c r="AD56" i="10"/>
  <c r="M56" i="10"/>
  <c r="L56" i="10"/>
  <c r="K56" i="10"/>
  <c r="AB56" i="10"/>
  <c r="AA56" i="10"/>
  <c r="Z56" i="10"/>
  <c r="Y56" i="10"/>
  <c r="X56" i="10"/>
  <c r="O10" i="6"/>
  <c r="M10" i="6"/>
  <c r="N10" i="6" s="1"/>
  <c r="I10" i="5" s="1"/>
  <c r="L10" i="6"/>
  <c r="H10" i="5" s="1"/>
  <c r="R10" i="6"/>
  <c r="G10" i="6"/>
  <c r="V55" i="10"/>
  <c r="AH55" i="10"/>
  <c r="AG55" i="10"/>
  <c r="AF55" i="10"/>
  <c r="AE55" i="10"/>
  <c r="AD55" i="10"/>
  <c r="AC55" i="10"/>
  <c r="AB55" i="10"/>
  <c r="AA55" i="10"/>
  <c r="Z55" i="10"/>
  <c r="Y55" i="10"/>
  <c r="X55" i="10"/>
  <c r="W55" i="10"/>
  <c r="J55" i="10"/>
  <c r="U55" i="10"/>
  <c r="T55" i="10"/>
  <c r="E55" i="10"/>
  <c r="S55" i="10"/>
  <c r="R55" i="10"/>
  <c r="Q55" i="10"/>
  <c r="P55" i="10"/>
  <c r="O55" i="10"/>
  <c r="N55" i="10"/>
  <c r="M55" i="10"/>
  <c r="L55" i="10"/>
  <c r="K55" i="10"/>
  <c r="I55" i="10"/>
  <c r="H55" i="10"/>
  <c r="G55" i="10"/>
  <c r="F55" i="10"/>
  <c r="D55" i="10"/>
  <c r="G9" i="6"/>
  <c r="C9" i="5" s="1"/>
  <c r="E9" i="5" s="1"/>
  <c r="O9" i="6"/>
  <c r="L9" i="6"/>
  <c r="P9" i="6"/>
  <c r="M9" i="6"/>
  <c r="N9" i="6" s="1"/>
  <c r="I9" i="5" s="1"/>
  <c r="AG54" i="10"/>
  <c r="AH54" i="10"/>
  <c r="P54" i="10"/>
  <c r="D54" i="10"/>
  <c r="E54" i="10"/>
  <c r="F54" i="10"/>
  <c r="G54" i="10"/>
  <c r="H54" i="10"/>
  <c r="I54" i="10"/>
  <c r="J54" i="10"/>
  <c r="K54" i="10"/>
  <c r="L54" i="10"/>
  <c r="M54" i="10"/>
  <c r="N54" i="10"/>
  <c r="O54" i="10"/>
  <c r="AB54" i="10"/>
  <c r="Q54" i="10"/>
  <c r="R54" i="10"/>
  <c r="S54" i="10"/>
  <c r="T54" i="10"/>
  <c r="U54" i="10"/>
  <c r="V54" i="10"/>
  <c r="W54" i="10"/>
  <c r="X54" i="10"/>
  <c r="Y54" i="10"/>
  <c r="Z54" i="10"/>
  <c r="AA54" i="10"/>
  <c r="AC54" i="10"/>
  <c r="AD54" i="10"/>
  <c r="AE54" i="10"/>
  <c r="AF54" i="10"/>
  <c r="L8" i="6"/>
  <c r="O8" i="6"/>
  <c r="G8" i="6"/>
  <c r="C8" i="5" s="1"/>
  <c r="E8" i="5" s="1"/>
  <c r="P8" i="6"/>
  <c r="M8" i="6"/>
  <c r="N8" i="6" s="1"/>
  <c r="I8" i="5" s="1"/>
  <c r="L53" i="10"/>
  <c r="K53" i="10"/>
  <c r="J53" i="10"/>
  <c r="I53" i="10"/>
  <c r="S53" i="10"/>
  <c r="H53" i="10"/>
  <c r="G53" i="10"/>
  <c r="AF53" i="10"/>
  <c r="D53" i="10"/>
  <c r="E53" i="10"/>
  <c r="AE53" i="10"/>
  <c r="W53" i="10"/>
  <c r="Q53" i="10"/>
  <c r="P53" i="10"/>
  <c r="O53" i="10"/>
  <c r="N53" i="10"/>
  <c r="M53" i="10"/>
  <c r="R53" i="10"/>
  <c r="AD53" i="10"/>
  <c r="AC53" i="10"/>
  <c r="X53" i="10"/>
  <c r="T53" i="10"/>
  <c r="U53" i="10"/>
  <c r="V53" i="10"/>
  <c r="AB53" i="10"/>
  <c r="AA53" i="10"/>
  <c r="Z53" i="10"/>
  <c r="Y53" i="10"/>
  <c r="AH53" i="10"/>
  <c r="AG53" i="10"/>
  <c r="F53" i="10"/>
  <c r="L7" i="6"/>
  <c r="H7" i="5" s="1"/>
  <c r="R7" i="6"/>
  <c r="O7" i="6"/>
  <c r="G7" i="6"/>
  <c r="C7" i="5" s="1"/>
  <c r="E7" i="5" s="1"/>
  <c r="P7" i="6"/>
  <c r="M7" i="6"/>
  <c r="N7" i="6" s="1"/>
  <c r="I7" i="5" s="1"/>
  <c r="AH52" i="10"/>
  <c r="AG52" i="10"/>
  <c r="AF52" i="10"/>
  <c r="AE52" i="10"/>
  <c r="AD52" i="10"/>
  <c r="AC52" i="10"/>
  <c r="AB52" i="10"/>
  <c r="AA52" i="10"/>
  <c r="Z52" i="10"/>
  <c r="Y52" i="10"/>
  <c r="X52" i="10"/>
  <c r="W52" i="10"/>
  <c r="V52" i="10"/>
  <c r="U52" i="10"/>
  <c r="T52" i="10"/>
  <c r="S52" i="10"/>
  <c r="R52" i="10"/>
  <c r="Q52" i="10"/>
  <c r="O52" i="10"/>
  <c r="J52" i="10"/>
  <c r="I52" i="10"/>
  <c r="H52" i="10"/>
  <c r="G52" i="10"/>
  <c r="D52" i="10"/>
  <c r="E52" i="10"/>
  <c r="P52" i="10"/>
  <c r="F52" i="10"/>
  <c r="K52" i="10"/>
  <c r="L52" i="10"/>
  <c r="M52" i="10"/>
  <c r="N52" i="10"/>
  <c r="I49" i="6"/>
  <c r="K6" i="6"/>
  <c r="L6" i="6"/>
  <c r="H6" i="5" s="1"/>
  <c r="F49" i="6"/>
  <c r="B19" i="9"/>
  <c r="O6" i="6"/>
  <c r="M6" i="6"/>
  <c r="R6" i="6"/>
  <c r="G6" i="6"/>
  <c r="P6" i="6" s="1"/>
  <c r="AG51" i="10"/>
  <c r="F51" i="10"/>
  <c r="I51" i="10"/>
  <c r="AF51" i="10"/>
  <c r="AE51" i="10"/>
  <c r="AD51" i="10"/>
  <c r="AC51" i="10"/>
  <c r="AB51" i="10"/>
  <c r="AA51" i="10"/>
  <c r="Z51" i="10"/>
  <c r="Y51" i="10"/>
  <c r="X51" i="10"/>
  <c r="W51" i="10"/>
  <c r="V51" i="10"/>
  <c r="U51" i="10"/>
  <c r="T51" i="10"/>
  <c r="R51" i="10"/>
  <c r="Q51" i="10"/>
  <c r="P51" i="10"/>
  <c r="O51" i="10"/>
  <c r="N51" i="10"/>
  <c r="G51" i="10"/>
  <c r="S51" i="10"/>
  <c r="M51" i="10"/>
  <c r="L51" i="10"/>
  <c r="K51" i="10"/>
  <c r="J51" i="10"/>
  <c r="E51" i="10"/>
  <c r="D51" i="10"/>
  <c r="AH51" i="10"/>
  <c r="B23" i="9"/>
  <c r="H51" i="10"/>
  <c r="C13" i="7"/>
  <c r="N12" i="7"/>
  <c r="C12" i="7"/>
  <c r="N11" i="7"/>
  <c r="G11" i="7"/>
  <c r="D11" i="7"/>
  <c r="E10" i="7"/>
  <c r="V9" i="7"/>
  <c r="H9" i="7"/>
  <c r="F55" i="5" s="1"/>
  <c r="D9" i="7"/>
  <c r="E8" i="7"/>
  <c r="V7" i="7"/>
  <c r="E7" i="7"/>
  <c r="V6" i="7"/>
  <c r="H6" i="7"/>
  <c r="D6" i="7"/>
  <c r="H11" i="7"/>
  <c r="F57" i="5" s="1"/>
  <c r="C6" i="7"/>
  <c r="G6" i="7"/>
  <c r="M6" i="7"/>
  <c r="C7" i="7"/>
  <c r="G7" i="7"/>
  <c r="N7" i="7"/>
  <c r="D8" i="7"/>
  <c r="H8" i="7"/>
  <c r="F54" i="5" s="1"/>
  <c r="V8" i="7"/>
  <c r="E9" i="7"/>
  <c r="N9" i="7"/>
  <c r="D10" i="7"/>
  <c r="H10" i="7"/>
  <c r="F56" i="5" s="1"/>
  <c r="V10" i="7"/>
  <c r="E11" i="7"/>
  <c r="V11" i="7"/>
  <c r="E12" i="7"/>
  <c r="G12" i="7"/>
  <c r="M12" i="7"/>
  <c r="O12" i="7" s="1"/>
  <c r="E13" i="7"/>
  <c r="H13" i="7"/>
  <c r="F59" i="5" s="1"/>
  <c r="N13" i="7"/>
  <c r="C14" i="7"/>
  <c r="H14" i="7"/>
  <c r="F60" i="5" s="1"/>
  <c r="N14" i="7"/>
  <c r="C15" i="7"/>
  <c r="E15" i="7"/>
  <c r="H15" i="7"/>
  <c r="F61" i="5" s="1"/>
  <c r="M15" i="7"/>
  <c r="O15" i="7" s="1"/>
  <c r="V15" i="7"/>
  <c r="E6" i="7"/>
  <c r="N6" i="7"/>
  <c r="D7" i="7"/>
  <c r="H7" i="7"/>
  <c r="F53" i="5" s="1"/>
  <c r="M7" i="7"/>
  <c r="O7" i="7" s="1"/>
  <c r="C8" i="7"/>
  <c r="G8" i="7"/>
  <c r="M8" i="7"/>
  <c r="C9" i="7"/>
  <c r="G9" i="7"/>
  <c r="M9" i="7"/>
  <c r="O9" i="7" s="1"/>
  <c r="C10" i="7"/>
  <c r="V14" i="7"/>
  <c r="G10" i="7"/>
  <c r="M10" i="7"/>
  <c r="M11" i="7"/>
  <c r="D12" i="7"/>
  <c r="H12" i="7"/>
  <c r="F58" i="5" s="1"/>
  <c r="V12" i="7"/>
  <c r="D13" i="7"/>
  <c r="G13" i="7"/>
  <c r="M13" i="7"/>
  <c r="V13" i="7"/>
  <c r="D14" i="7"/>
  <c r="G14" i="7"/>
  <c r="M14" i="7"/>
  <c r="D15" i="7"/>
  <c r="G15" i="7"/>
  <c r="N15" i="7"/>
  <c r="C11" i="7"/>
  <c r="E14" i="7"/>
  <c r="B24" i="9"/>
  <c r="B21" i="9"/>
  <c r="D93" i="10" l="1"/>
  <c r="C48" i="5"/>
  <c r="E48" i="5" s="1"/>
  <c r="D92" i="10"/>
  <c r="C47" i="5"/>
  <c r="E47" i="5" s="1"/>
  <c r="D91" i="10"/>
  <c r="C46" i="5"/>
  <c r="E46" i="5" s="1"/>
  <c r="T46" i="6"/>
  <c r="S46" i="6"/>
  <c r="V46" i="6"/>
  <c r="Y46" i="6"/>
  <c r="D90" i="10"/>
  <c r="C45" i="5"/>
  <c r="E45" i="5" s="1"/>
  <c r="S44" i="6"/>
  <c r="V44" i="6"/>
  <c r="Y44" i="6"/>
  <c r="T44" i="6"/>
  <c r="D89" i="10"/>
  <c r="C44" i="5"/>
  <c r="E44" i="5" s="1"/>
  <c r="C43" i="5"/>
  <c r="E43" i="5" s="1"/>
  <c r="D88" i="10"/>
  <c r="T43" i="6"/>
  <c r="S43" i="6"/>
  <c r="Y43" i="6"/>
  <c r="V43" i="6"/>
  <c r="C42" i="5"/>
  <c r="E42" i="5" s="1"/>
  <c r="D87" i="10"/>
  <c r="S41" i="6"/>
  <c r="V41" i="6"/>
  <c r="Y41" i="6"/>
  <c r="S38" i="6"/>
  <c r="V38" i="6"/>
  <c r="Y38" i="6"/>
  <c r="S37" i="6"/>
  <c r="V37" i="6"/>
  <c r="Y37" i="6"/>
  <c r="T37" i="6"/>
  <c r="S35" i="6"/>
  <c r="V35" i="6"/>
  <c r="Y35" i="6"/>
  <c r="S34" i="6"/>
  <c r="V34" i="6"/>
  <c r="Y34" i="6"/>
  <c r="T33" i="6"/>
  <c r="S33" i="6"/>
  <c r="V33" i="6"/>
  <c r="Y33" i="6"/>
  <c r="T32" i="6"/>
  <c r="V32" i="6"/>
  <c r="Y32" i="6"/>
  <c r="S32" i="6"/>
  <c r="T31" i="6"/>
  <c r="V31" i="6"/>
  <c r="S31" i="6"/>
  <c r="Y31" i="6"/>
  <c r="U28" i="6"/>
  <c r="S28" i="6"/>
  <c r="V28" i="6"/>
  <c r="Y28" i="6"/>
  <c r="X28" i="6" s="1"/>
  <c r="T28" i="6"/>
  <c r="V25" i="6"/>
  <c r="Y25" i="6"/>
  <c r="S25" i="6"/>
  <c r="T24" i="6"/>
  <c r="Y24" i="6"/>
  <c r="S24" i="6"/>
  <c r="V24" i="6"/>
  <c r="T23" i="6"/>
  <c r="V23" i="6"/>
  <c r="Y23" i="6"/>
  <c r="S23" i="6"/>
  <c r="Y21" i="6"/>
  <c r="S21" i="6"/>
  <c r="V21" i="6"/>
  <c r="T18" i="6"/>
  <c r="Y18" i="6"/>
  <c r="X18" i="6" s="1"/>
  <c r="S18" i="6"/>
  <c r="U18" i="6"/>
  <c r="V18" i="6"/>
  <c r="V16" i="6"/>
  <c r="T16" i="6"/>
  <c r="Y16" i="6"/>
  <c r="S16" i="6"/>
  <c r="V14" i="6"/>
  <c r="S14" i="6"/>
  <c r="Y14" i="6"/>
  <c r="T14" i="6"/>
  <c r="V12" i="6"/>
  <c r="Y12" i="6"/>
  <c r="S12" i="6"/>
  <c r="S10" i="6"/>
  <c r="V10" i="6"/>
  <c r="Y10" i="6"/>
  <c r="T7" i="6"/>
  <c r="Y7" i="6"/>
  <c r="S7" i="6"/>
  <c r="V7" i="6"/>
  <c r="K49" i="6"/>
  <c r="L49" i="6" s="1"/>
  <c r="F6" i="5"/>
  <c r="B20" i="9"/>
  <c r="B22" i="9"/>
  <c r="N6" i="6"/>
  <c r="I6" i="5" s="1"/>
  <c r="M49" i="6"/>
  <c r="N49" i="6" s="1"/>
  <c r="V6" i="6"/>
  <c r="Y6" i="6"/>
  <c r="S6" i="6"/>
  <c r="T6" i="6"/>
  <c r="G49" i="6"/>
  <c r="C6" i="5"/>
  <c r="E6" i="5" s="1"/>
  <c r="F10" i="7"/>
  <c r="C56" i="5" s="1"/>
  <c r="E56" i="5" s="1"/>
  <c r="I10" i="7"/>
  <c r="H56" i="5" s="1"/>
  <c r="J10" i="7"/>
  <c r="I56" i="5" s="1"/>
  <c r="W10" i="7"/>
  <c r="G56" i="5"/>
  <c r="F8" i="7"/>
  <c r="C54" i="5" s="1"/>
  <c r="E54" i="5" s="1"/>
  <c r="G54" i="5"/>
  <c r="I8" i="7"/>
  <c r="H54" i="5" s="1"/>
  <c r="J8" i="7"/>
  <c r="I54" i="5" s="1"/>
  <c r="W8" i="7"/>
  <c r="F7" i="7"/>
  <c r="C53" i="5" s="1"/>
  <c r="E53" i="5" s="1"/>
  <c r="I7" i="7"/>
  <c r="J7" i="7"/>
  <c r="I53" i="5" s="1"/>
  <c r="G53" i="5"/>
  <c r="F52" i="5"/>
  <c r="H16" i="7"/>
  <c r="C16" i="7"/>
  <c r="B28" i="9"/>
  <c r="O6" i="7"/>
  <c r="M16" i="7"/>
  <c r="F9" i="7"/>
  <c r="C55" i="5" s="1"/>
  <c r="E55" i="5" s="1"/>
  <c r="I9" i="7"/>
  <c r="H55" i="5" s="1"/>
  <c r="J9" i="7"/>
  <c r="I55" i="5" s="1"/>
  <c r="W9" i="7"/>
  <c r="G55" i="5"/>
  <c r="F11" i="7"/>
  <c r="C57" i="5" s="1"/>
  <c r="E57" i="5" s="1"/>
  <c r="I11" i="7"/>
  <c r="H57" i="5" s="1"/>
  <c r="J11" i="7"/>
  <c r="I57" i="5" s="1"/>
  <c r="G57" i="5"/>
  <c r="W11" i="7"/>
  <c r="I12" i="7"/>
  <c r="H58" i="5" s="1"/>
  <c r="W12" i="7"/>
  <c r="F12" i="7"/>
  <c r="C58" i="5" s="1"/>
  <c r="E58" i="5" s="1"/>
  <c r="J12" i="7"/>
  <c r="I58" i="5" s="1"/>
  <c r="G58" i="5"/>
  <c r="P12" i="7"/>
  <c r="Q12" i="7"/>
  <c r="F13" i="7"/>
  <c r="C59" i="5" s="1"/>
  <c r="E59" i="5" s="1"/>
  <c r="I13" i="7"/>
  <c r="H59" i="5" s="1"/>
  <c r="J13" i="7"/>
  <c r="I59" i="5" s="1"/>
  <c r="W13" i="7"/>
  <c r="G59" i="5"/>
  <c r="F15" i="7"/>
  <c r="C61" i="5" s="1"/>
  <c r="E61" i="5" s="1"/>
  <c r="I15" i="7"/>
  <c r="H61" i="5" s="1"/>
  <c r="J15" i="7"/>
  <c r="I61" i="5" s="1"/>
  <c r="W15" i="7"/>
  <c r="G61" i="5"/>
  <c r="P15" i="7"/>
  <c r="Q15" i="7"/>
  <c r="F6" i="7"/>
  <c r="E16" i="7"/>
  <c r="G52" i="5"/>
  <c r="I6" i="7"/>
  <c r="H52" i="5" s="1"/>
  <c r="J6" i="7"/>
  <c r="I52" i="5" s="1"/>
  <c r="W6" i="7"/>
  <c r="Q7" i="7"/>
  <c r="P7" i="7"/>
  <c r="Q9" i="7"/>
  <c r="P9" i="7"/>
  <c r="F14" i="7"/>
  <c r="C60" i="5" s="1"/>
  <c r="E60" i="5" s="1"/>
  <c r="J14" i="7"/>
  <c r="I60" i="5" s="1"/>
  <c r="G60" i="5"/>
  <c r="I14" i="7"/>
  <c r="V16" i="7"/>
  <c r="B13" i="9" s="1"/>
  <c r="B14" i="9" s="1"/>
  <c r="G16" i="7"/>
  <c r="O49" i="6"/>
  <c r="AG95" i="10"/>
  <c r="AG96" i="10" s="1"/>
  <c r="F95" i="10"/>
  <c r="F96" i="10" s="1"/>
  <c r="I95" i="10"/>
  <c r="I96" i="10" s="1"/>
  <c r="AF95" i="10"/>
  <c r="AF96" i="10" s="1"/>
  <c r="AE95" i="10"/>
  <c r="AE96" i="10" s="1"/>
  <c r="AD95" i="10"/>
  <c r="AD96" i="10" s="1"/>
  <c r="AC95" i="10"/>
  <c r="AC96" i="10" s="1"/>
  <c r="AB95" i="10"/>
  <c r="AB96" i="10" s="1"/>
  <c r="AA95" i="10"/>
  <c r="AA96" i="10" s="1"/>
  <c r="Z95" i="10"/>
  <c r="Z96" i="10" s="1"/>
  <c r="Y95" i="10"/>
  <c r="Y96" i="10" s="1"/>
  <c r="X95" i="10"/>
  <c r="X96" i="10" s="1"/>
  <c r="W95" i="10"/>
  <c r="W96" i="10" s="1"/>
  <c r="V95" i="10"/>
  <c r="V96" i="10" s="1"/>
  <c r="U95" i="10"/>
  <c r="U96" i="10" s="1"/>
  <c r="T95" i="10"/>
  <c r="T96" i="10" s="1"/>
  <c r="R95" i="10"/>
  <c r="R96" i="10" s="1"/>
  <c r="Q95" i="10"/>
  <c r="Q96" i="10" s="1"/>
  <c r="P95" i="10"/>
  <c r="P96" i="10" s="1"/>
  <c r="O95" i="10"/>
  <c r="O96" i="10" s="1"/>
  <c r="N95" i="10"/>
  <c r="N96" i="10" s="1"/>
  <c r="G95" i="10"/>
  <c r="G96" i="10" s="1"/>
  <c r="S95" i="10"/>
  <c r="S96" i="10" s="1"/>
  <c r="M95" i="10"/>
  <c r="M96" i="10" s="1"/>
  <c r="L95" i="10"/>
  <c r="L96" i="10" s="1"/>
  <c r="K95" i="10"/>
  <c r="K96" i="10" s="1"/>
  <c r="J95" i="10"/>
  <c r="J96" i="10" s="1"/>
  <c r="E95" i="10"/>
  <c r="E96" i="10" s="1"/>
  <c r="D95" i="10"/>
  <c r="D96" i="10" s="1"/>
  <c r="AH95" i="10"/>
  <c r="AH96" i="10" s="1"/>
  <c r="H95" i="10"/>
  <c r="H96" i="10" s="1"/>
  <c r="D16" i="7"/>
  <c r="O11" i="7"/>
  <c r="O13" i="7"/>
  <c r="O14" i="7"/>
  <c r="H48" i="5"/>
  <c r="R48" i="6"/>
  <c r="H47" i="5"/>
  <c r="R47" i="6"/>
  <c r="H45" i="5"/>
  <c r="R45" i="6"/>
  <c r="H42" i="5"/>
  <c r="R42" i="6"/>
  <c r="C41" i="5"/>
  <c r="E41" i="5" s="1"/>
  <c r="P41" i="6"/>
  <c r="T41" i="6" s="1"/>
  <c r="H40" i="5"/>
  <c r="R40" i="6"/>
  <c r="C39" i="5"/>
  <c r="E39" i="5" s="1"/>
  <c r="P39" i="6"/>
  <c r="H39" i="5"/>
  <c r="R39" i="6"/>
  <c r="C38" i="5"/>
  <c r="E38" i="5" s="1"/>
  <c r="P38" i="6"/>
  <c r="T38" i="6" s="1"/>
  <c r="H36" i="5"/>
  <c r="R36" i="6"/>
  <c r="C35" i="5"/>
  <c r="E35" i="5" s="1"/>
  <c r="P35" i="6"/>
  <c r="T35" i="6" s="1"/>
  <c r="C34" i="5"/>
  <c r="E34" i="5" s="1"/>
  <c r="P34" i="6"/>
  <c r="T34" i="6" s="1"/>
  <c r="C33" i="5"/>
  <c r="E33" i="5" s="1"/>
  <c r="P33" i="6"/>
  <c r="C32" i="5"/>
  <c r="E32" i="5" s="1"/>
  <c r="P32" i="6"/>
  <c r="H30" i="5"/>
  <c r="R30" i="6"/>
  <c r="H29" i="5"/>
  <c r="R29" i="6"/>
  <c r="N10" i="7"/>
  <c r="O10" i="7" s="1"/>
  <c r="C29" i="5"/>
  <c r="E29" i="5" s="1"/>
  <c r="P29" i="6"/>
  <c r="H27" i="5"/>
  <c r="R27" i="6"/>
  <c r="H26" i="5"/>
  <c r="R26" i="6"/>
  <c r="C25" i="5"/>
  <c r="E25" i="5" s="1"/>
  <c r="P25" i="6"/>
  <c r="T25" i="6" s="1"/>
  <c r="C23" i="5"/>
  <c r="E23" i="5" s="1"/>
  <c r="D68" i="10"/>
  <c r="H23" i="5"/>
  <c r="N8" i="7"/>
  <c r="H22" i="5"/>
  <c r="R22" i="6"/>
  <c r="C21" i="5"/>
  <c r="E21" i="5" s="1"/>
  <c r="P21" i="6"/>
  <c r="T21" i="6" s="1"/>
  <c r="H20" i="5"/>
  <c r="R20" i="6"/>
  <c r="C20" i="5"/>
  <c r="E20" i="5" s="1"/>
  <c r="P20" i="6"/>
  <c r="H19" i="5"/>
  <c r="R19" i="6"/>
  <c r="H17" i="5"/>
  <c r="R17" i="6"/>
  <c r="H15" i="5"/>
  <c r="R15" i="6"/>
  <c r="H13" i="5"/>
  <c r="R13" i="6"/>
  <c r="C13" i="5"/>
  <c r="E13" i="5" s="1"/>
  <c r="P13" i="6"/>
  <c r="C12" i="5"/>
  <c r="E12" i="5" s="1"/>
  <c r="P12" i="6"/>
  <c r="T12" i="6" s="1"/>
  <c r="H11" i="5"/>
  <c r="R11" i="6"/>
  <c r="C10" i="5"/>
  <c r="E10" i="5" s="1"/>
  <c r="P10" i="6"/>
  <c r="H9" i="5"/>
  <c r="R9" i="6"/>
  <c r="H8" i="5"/>
  <c r="R8" i="6"/>
  <c r="E115" i="10"/>
  <c r="D115" i="10"/>
  <c r="K10" i="7" s="1"/>
  <c r="L10" i="7" s="1"/>
  <c r="AB113" i="10"/>
  <c r="AH113" i="10"/>
  <c r="E113" i="10"/>
  <c r="AF113" i="10"/>
  <c r="AC113" i="10"/>
  <c r="D113" i="10"/>
  <c r="K8" i="7" s="1"/>
  <c r="L8" i="7" s="1"/>
  <c r="AD113" i="10"/>
  <c r="AE113" i="10"/>
  <c r="AG113" i="10"/>
  <c r="AC112" i="10"/>
  <c r="AA112" i="10"/>
  <c r="AH112" i="10"/>
  <c r="AD112" i="10"/>
  <c r="Y112" i="10"/>
  <c r="X112" i="10"/>
  <c r="D112" i="10"/>
  <c r="K7" i="7" s="1"/>
  <c r="L7" i="7" s="1"/>
  <c r="T7" i="7" s="1"/>
  <c r="Z112" i="10"/>
  <c r="AB112" i="10"/>
  <c r="AG112" i="10"/>
  <c r="AF112" i="10"/>
  <c r="AE112" i="10"/>
  <c r="AD114" i="10"/>
  <c r="H114" i="10"/>
  <c r="E114" i="10"/>
  <c r="K114" i="10"/>
  <c r="Z114" i="10"/>
  <c r="X114" i="10"/>
  <c r="Q114" i="10"/>
  <c r="P114" i="10"/>
  <c r="D114" i="10"/>
  <c r="O114" i="10"/>
  <c r="L114" i="10"/>
  <c r="M114" i="10"/>
  <c r="AH114" i="10"/>
  <c r="AF114" i="10"/>
  <c r="AC114" i="10"/>
  <c r="U114" i="10"/>
  <c r="V114" i="10"/>
  <c r="W114" i="10"/>
  <c r="T114" i="10"/>
  <c r="S114" i="10"/>
  <c r="R114" i="10"/>
  <c r="Y114" i="10"/>
  <c r="N114" i="10"/>
  <c r="AA114" i="10"/>
  <c r="G114" i="10"/>
  <c r="F114" i="10"/>
  <c r="AB114" i="10"/>
  <c r="J114" i="10"/>
  <c r="I114" i="10"/>
  <c r="AG114" i="10"/>
  <c r="AE114" i="10"/>
  <c r="E116" i="10"/>
  <c r="AE116" i="10"/>
  <c r="U116" i="10"/>
  <c r="L116" i="10"/>
  <c r="AB116" i="10"/>
  <c r="AF116" i="10"/>
  <c r="D116" i="10"/>
  <c r="K116" i="10"/>
  <c r="H116" i="10"/>
  <c r="Z116" i="10"/>
  <c r="F116" i="10"/>
  <c r="AA116" i="10"/>
  <c r="AD116" i="10"/>
  <c r="AG116" i="10"/>
  <c r="G116" i="10"/>
  <c r="I116" i="10"/>
  <c r="S116" i="10"/>
  <c r="AH116" i="10"/>
  <c r="O116" i="10"/>
  <c r="AC116" i="10"/>
  <c r="Y116" i="10"/>
  <c r="R116" i="10"/>
  <c r="V116" i="10"/>
  <c r="X116" i="10"/>
  <c r="W116" i="10"/>
  <c r="T116" i="10"/>
  <c r="Q116" i="10"/>
  <c r="P116" i="10"/>
  <c r="N116" i="10"/>
  <c r="M116" i="10"/>
  <c r="J116" i="10"/>
  <c r="M117" i="10"/>
  <c r="E117" i="10"/>
  <c r="L117" i="10"/>
  <c r="X117" i="10"/>
  <c r="AG117" i="10"/>
  <c r="N117" i="10"/>
  <c r="AF117" i="10"/>
  <c r="AD117" i="10"/>
  <c r="D117" i="10"/>
  <c r="Z117" i="10"/>
  <c r="K117" i="10"/>
  <c r="AA117" i="10"/>
  <c r="Q117" i="10"/>
  <c r="Y117" i="10"/>
  <c r="J117" i="10"/>
  <c r="W117" i="10"/>
  <c r="F117" i="10"/>
  <c r="U117" i="10"/>
  <c r="AB117" i="10"/>
  <c r="S117" i="10"/>
  <c r="V117" i="10"/>
  <c r="P117" i="10"/>
  <c r="AE117" i="10"/>
  <c r="T117" i="10"/>
  <c r="O117" i="10"/>
  <c r="H117" i="10"/>
  <c r="AC117" i="10"/>
  <c r="G117" i="10"/>
  <c r="AH117" i="10"/>
  <c r="I117" i="10"/>
  <c r="R117" i="10"/>
  <c r="AB118" i="10"/>
  <c r="AA118" i="10"/>
  <c r="Z118" i="10"/>
  <c r="S118" i="10"/>
  <c r="N118" i="10"/>
  <c r="X118" i="10"/>
  <c r="G118" i="10"/>
  <c r="K118" i="10"/>
  <c r="W118" i="10"/>
  <c r="F118" i="10"/>
  <c r="V118" i="10"/>
  <c r="U118" i="10"/>
  <c r="AE118" i="10"/>
  <c r="AD118" i="10"/>
  <c r="AH118" i="10"/>
  <c r="E118" i="10"/>
  <c r="Y118" i="10"/>
  <c r="AG118" i="10"/>
  <c r="T118" i="10"/>
  <c r="P118" i="10"/>
  <c r="R118" i="10"/>
  <c r="O118" i="10"/>
  <c r="Q118" i="10"/>
  <c r="M118" i="10"/>
  <c r="L118" i="10"/>
  <c r="D118" i="10"/>
  <c r="J118" i="10"/>
  <c r="AF118" i="10"/>
  <c r="I118" i="10"/>
  <c r="AC118" i="10"/>
  <c r="H118" i="10"/>
  <c r="Q120" i="10"/>
  <c r="W120" i="10"/>
  <c r="O120" i="10"/>
  <c r="X120" i="10"/>
  <c r="M120" i="10"/>
  <c r="AG120" i="10"/>
  <c r="Z120" i="10"/>
  <c r="AE120" i="10"/>
  <c r="S120" i="10"/>
  <c r="AC120" i="10"/>
  <c r="AF120" i="10"/>
  <c r="AA120" i="10"/>
  <c r="N120" i="10"/>
  <c r="AB120" i="10"/>
  <c r="J120" i="10"/>
  <c r="L120" i="10"/>
  <c r="D120" i="10"/>
  <c r="K120" i="10"/>
  <c r="I120" i="10"/>
  <c r="Y120" i="10"/>
  <c r="H120" i="10"/>
  <c r="T120" i="10"/>
  <c r="AD120" i="10"/>
  <c r="P120" i="10"/>
  <c r="G120" i="10"/>
  <c r="R120" i="10"/>
  <c r="F120" i="10"/>
  <c r="U120" i="10"/>
  <c r="E120" i="10"/>
  <c r="AH120" i="10"/>
  <c r="V120" i="10"/>
  <c r="D111" i="10"/>
  <c r="AD111" i="10"/>
  <c r="AH111" i="10"/>
  <c r="V111" i="10"/>
  <c r="K111" i="10"/>
  <c r="U111" i="10"/>
  <c r="E111" i="10"/>
  <c r="T111" i="10"/>
  <c r="M111" i="10"/>
  <c r="W111" i="10"/>
  <c r="P111" i="10"/>
  <c r="S111" i="10"/>
  <c r="AB111" i="10"/>
  <c r="H111" i="10"/>
  <c r="R111" i="10"/>
  <c r="AE111" i="10"/>
  <c r="AG111" i="10"/>
  <c r="N111" i="10"/>
  <c r="Y111" i="10"/>
  <c r="Q111" i="10"/>
  <c r="AC111" i="10"/>
  <c r="L111" i="10"/>
  <c r="O111" i="10"/>
  <c r="I111" i="10"/>
  <c r="J111" i="10"/>
  <c r="AA111" i="10"/>
  <c r="Z111" i="10"/>
  <c r="AF111" i="10"/>
  <c r="X111" i="10"/>
  <c r="G111" i="10"/>
  <c r="F111" i="10"/>
  <c r="D119" i="10"/>
  <c r="E119" i="10"/>
  <c r="Q6" i="7" l="1"/>
  <c r="P6" i="7"/>
  <c r="F16" i="7"/>
  <c r="C52" i="5"/>
  <c r="E52" i="5" s="1"/>
  <c r="J16" i="7"/>
  <c r="I16" i="7"/>
  <c r="C3" i="5"/>
  <c r="Q44" i="6"/>
  <c r="U44" i="6" s="1"/>
  <c r="Q37" i="6"/>
  <c r="U37" i="6" s="1"/>
  <c r="Q33" i="6"/>
  <c r="U33" i="6" s="1"/>
  <c r="W33" i="6" s="1"/>
  <c r="Q28" i="6"/>
  <c r="Q24" i="6"/>
  <c r="U24" i="6" s="1"/>
  <c r="Q20" i="6"/>
  <c r="Q16" i="6"/>
  <c r="U16" i="6" s="1"/>
  <c r="Q12" i="6"/>
  <c r="U12" i="6" s="1"/>
  <c r="W12" i="6" s="1"/>
  <c r="Q45" i="6"/>
  <c r="Q38" i="6"/>
  <c r="U38" i="6" s="1"/>
  <c r="Q35" i="6"/>
  <c r="U35" i="6" s="1"/>
  <c r="Q27" i="6"/>
  <c r="U27" i="6" s="1"/>
  <c r="Q23" i="6"/>
  <c r="U23" i="6" s="1"/>
  <c r="W23" i="6" s="1"/>
  <c r="Q19" i="6"/>
  <c r="Q15" i="6"/>
  <c r="Q48" i="6"/>
  <c r="Q47" i="6"/>
  <c r="Q46" i="6"/>
  <c r="U46" i="6" s="1"/>
  <c r="W46" i="6" s="1"/>
  <c r="Q41" i="6"/>
  <c r="U41" i="6" s="1"/>
  <c r="W41" i="6" s="1"/>
  <c r="Q40" i="6"/>
  <c r="Q39" i="6"/>
  <c r="Q31" i="6"/>
  <c r="U31" i="6" s="1"/>
  <c r="W31" i="6" s="1"/>
  <c r="Q11" i="6"/>
  <c r="Q10" i="6"/>
  <c r="U10" i="6" s="1"/>
  <c r="Q9" i="6"/>
  <c r="Q8" i="6"/>
  <c r="Q7" i="6"/>
  <c r="U7" i="6" s="1"/>
  <c r="Q6" i="6"/>
  <c r="Q43" i="6"/>
  <c r="U43" i="6" s="1"/>
  <c r="Q34" i="6"/>
  <c r="U34" i="6" s="1"/>
  <c r="Q30" i="6"/>
  <c r="U30" i="6" s="1"/>
  <c r="Q26" i="6"/>
  <c r="U26" i="6" s="1"/>
  <c r="Q22" i="6"/>
  <c r="U22" i="6" s="1"/>
  <c r="Q18" i="6"/>
  <c r="Q14" i="6"/>
  <c r="U14" i="6" s="1"/>
  <c r="Q42" i="6"/>
  <c r="Q36" i="6"/>
  <c r="Q32" i="6"/>
  <c r="U32" i="6" s="1"/>
  <c r="W32" i="6" s="1"/>
  <c r="Q29" i="6"/>
  <c r="Q25" i="6"/>
  <c r="U25" i="6" s="1"/>
  <c r="W25" i="6" s="1"/>
  <c r="Q21" i="6"/>
  <c r="U21" i="6" s="1"/>
  <c r="W21" i="6" s="1"/>
  <c r="Q17" i="6"/>
  <c r="Q13" i="6"/>
  <c r="P11" i="7"/>
  <c r="Q11" i="7"/>
  <c r="Q13" i="7"/>
  <c r="P13" i="7"/>
  <c r="Q14" i="7"/>
  <c r="P14" i="7"/>
  <c r="Y48" i="6"/>
  <c r="V48" i="6"/>
  <c r="S48" i="6"/>
  <c r="T48" i="6"/>
  <c r="U48" i="6"/>
  <c r="S47" i="6"/>
  <c r="V47" i="6"/>
  <c r="T47" i="6"/>
  <c r="Y47" i="6"/>
  <c r="U47" i="6"/>
  <c r="Y45" i="6"/>
  <c r="T45" i="6"/>
  <c r="V45" i="6"/>
  <c r="S45" i="6"/>
  <c r="U45" i="6"/>
  <c r="Y42" i="6"/>
  <c r="V42" i="6"/>
  <c r="S42" i="6"/>
  <c r="T42" i="6"/>
  <c r="U42" i="6"/>
  <c r="S40" i="6"/>
  <c r="V40" i="6"/>
  <c r="T40" i="6"/>
  <c r="Y40" i="6"/>
  <c r="U40" i="6"/>
  <c r="T39" i="6"/>
  <c r="Y39" i="6"/>
  <c r="V39" i="6"/>
  <c r="S39" i="6"/>
  <c r="W39" i="6" s="1"/>
  <c r="U39" i="6"/>
  <c r="Y36" i="6"/>
  <c r="V36" i="6"/>
  <c r="S36" i="6"/>
  <c r="W36" i="6" s="1"/>
  <c r="T36" i="6"/>
  <c r="U36" i="6"/>
  <c r="Y30" i="6"/>
  <c r="S30" i="6"/>
  <c r="V30" i="6"/>
  <c r="T30" i="6"/>
  <c r="S29" i="6"/>
  <c r="T29" i="6"/>
  <c r="Y29" i="6"/>
  <c r="V29" i="6"/>
  <c r="U29" i="6"/>
  <c r="Q10" i="7"/>
  <c r="T10" i="7" s="1"/>
  <c r="P10" i="7"/>
  <c r="V27" i="6"/>
  <c r="S27" i="6"/>
  <c r="Y27" i="6"/>
  <c r="T27" i="6"/>
  <c r="S26" i="6"/>
  <c r="Y26" i="6"/>
  <c r="T26" i="6"/>
  <c r="V26" i="6"/>
  <c r="O8" i="7"/>
  <c r="N16" i="7"/>
  <c r="Y22" i="6"/>
  <c r="V22" i="6"/>
  <c r="S22" i="6"/>
  <c r="T22" i="6"/>
  <c r="S20" i="6"/>
  <c r="Y20" i="6"/>
  <c r="U20" i="6"/>
  <c r="V20" i="6"/>
  <c r="T20" i="6"/>
  <c r="S19" i="6"/>
  <c r="V19" i="6"/>
  <c r="T19" i="6"/>
  <c r="Y19" i="6"/>
  <c r="U19" i="6"/>
  <c r="T17" i="6"/>
  <c r="Y17" i="6"/>
  <c r="V17" i="6"/>
  <c r="S17" i="6"/>
  <c r="U17" i="6"/>
  <c r="V15" i="6"/>
  <c r="T15" i="6"/>
  <c r="S15" i="6"/>
  <c r="Y15" i="6"/>
  <c r="U15" i="6"/>
  <c r="T13" i="6"/>
  <c r="U13" i="6"/>
  <c r="S13" i="6"/>
  <c r="Y13" i="6"/>
  <c r="V13" i="6"/>
  <c r="Y11" i="6"/>
  <c r="V11" i="6"/>
  <c r="S11" i="6"/>
  <c r="U11" i="6"/>
  <c r="T11" i="6"/>
  <c r="T9" i="6"/>
  <c r="V9" i="6"/>
  <c r="S9" i="6"/>
  <c r="W9" i="6" s="1"/>
  <c r="Y9" i="6"/>
  <c r="U9" i="6"/>
  <c r="T8" i="6"/>
  <c r="T49" i="6" s="1"/>
  <c r="B5" i="9" s="1"/>
  <c r="V8" i="6"/>
  <c r="V49" i="6" s="1"/>
  <c r="B8" i="9" s="1"/>
  <c r="S8" i="6"/>
  <c r="S49" i="6" s="1"/>
  <c r="B7" i="9" s="1"/>
  <c r="Y8" i="6"/>
  <c r="U8" i="6"/>
  <c r="X16" i="6"/>
  <c r="W16" i="6"/>
  <c r="W14" i="6"/>
  <c r="X14" i="6"/>
  <c r="X12" i="6"/>
  <c r="X10" i="6"/>
  <c r="X7" i="6"/>
  <c r="W7" i="6"/>
  <c r="B27" i="9"/>
  <c r="B29" i="9" s="1"/>
  <c r="R15" i="7"/>
  <c r="S15" i="7" s="1"/>
  <c r="K11" i="7"/>
  <c r="L11" i="7" s="1"/>
  <c r="T11" i="7" s="1"/>
  <c r="K12" i="7"/>
  <c r="L12" i="7" s="1"/>
  <c r="T12" i="7" s="1"/>
  <c r="K13" i="7"/>
  <c r="L13" i="7" s="1"/>
  <c r="T13" i="7" s="1"/>
  <c r="K15" i="7"/>
  <c r="L15" i="7" s="1"/>
  <c r="T15" i="7" s="1"/>
  <c r="K6" i="7"/>
  <c r="K14" i="7"/>
  <c r="L14" i="7" s="1"/>
  <c r="T14" i="7" s="1"/>
  <c r="X44" i="6"/>
  <c r="W43" i="6"/>
  <c r="X41" i="6"/>
  <c r="X38" i="6"/>
  <c r="W37" i="6"/>
  <c r="W35" i="6"/>
  <c r="W34" i="6"/>
  <c r="W24" i="6"/>
  <c r="X46" i="6"/>
  <c r="W44" i="6"/>
  <c r="X43" i="6"/>
  <c r="W38" i="6"/>
  <c r="X37" i="6"/>
  <c r="W28" i="6"/>
  <c r="W18" i="6"/>
  <c r="K9" i="7"/>
  <c r="L9" i="7" s="1"/>
  <c r="T9" i="7" s="1"/>
  <c r="H53" i="5"/>
  <c r="W7" i="7"/>
  <c r="H60" i="5"/>
  <c r="W14" i="7"/>
  <c r="R14" i="7" s="1"/>
  <c r="S14" i="7" s="1"/>
  <c r="P49" i="6"/>
  <c r="T10" i="6"/>
  <c r="U6" i="6" l="1"/>
  <c r="Q49" i="6"/>
  <c r="Q8" i="7"/>
  <c r="P8" i="7"/>
  <c r="X21" i="6"/>
  <c r="X24" i="6"/>
  <c r="X35" i="6"/>
  <c r="X23" i="6"/>
  <c r="X25" i="6"/>
  <c r="X31" i="6"/>
  <c r="X32" i="6"/>
  <c r="X33" i="6"/>
  <c r="X34" i="6"/>
  <c r="X6" i="6"/>
  <c r="X8" i="6"/>
  <c r="L6" i="7"/>
  <c r="K16" i="7"/>
  <c r="R8" i="7"/>
  <c r="S8" i="7" s="1"/>
  <c r="R10" i="7"/>
  <c r="S10" i="7" s="1"/>
  <c r="R9" i="7"/>
  <c r="S9" i="7" s="1"/>
  <c r="R13" i="7"/>
  <c r="S13" i="7" s="1"/>
  <c r="R12" i="7"/>
  <c r="S12" i="7" s="1"/>
  <c r="R6" i="7"/>
  <c r="R11" i="7"/>
  <c r="S11" i="7" s="1"/>
  <c r="R7" i="7"/>
  <c r="S7" i="7" s="1"/>
  <c r="X48" i="6"/>
  <c r="W48" i="6"/>
  <c r="W47" i="6"/>
  <c r="X47" i="6"/>
  <c r="X45" i="6"/>
  <c r="W45" i="6"/>
  <c r="X42" i="6"/>
  <c r="W42" i="6"/>
  <c r="W40" i="6"/>
  <c r="X39" i="6"/>
  <c r="W11" i="6"/>
  <c r="W30" i="6"/>
  <c r="W29" i="6"/>
  <c r="X29" i="6"/>
  <c r="W27" i="6"/>
  <c r="X27" i="6"/>
  <c r="W26" i="6"/>
  <c r="X26" i="6"/>
  <c r="X22" i="6"/>
  <c r="W22" i="6"/>
  <c r="W20" i="6"/>
  <c r="X20" i="6"/>
  <c r="W19" i="6"/>
  <c r="X19" i="6"/>
  <c r="X17" i="6"/>
  <c r="W17" i="6"/>
  <c r="W15" i="6"/>
  <c r="X15" i="6"/>
  <c r="W13" i="6"/>
  <c r="X13" i="6"/>
  <c r="X11" i="6"/>
  <c r="X9" i="6"/>
  <c r="W10" i="6"/>
  <c r="X30" i="6"/>
  <c r="W8" i="6"/>
  <c r="X40" i="6"/>
  <c r="X36" i="6"/>
  <c r="W6" i="6" l="1"/>
  <c r="W49" i="6" s="1"/>
  <c r="U49" i="6"/>
  <c r="B6" i="9" s="1"/>
  <c r="Q16" i="7"/>
  <c r="B10" i="9" s="1"/>
  <c r="T8" i="7"/>
  <c r="F14" i="8"/>
  <c r="B14" i="8"/>
  <c r="F13" i="8"/>
  <c r="B13" i="8"/>
  <c r="E12" i="8"/>
  <c r="B12" i="8"/>
  <c r="E11" i="8"/>
  <c r="C11" i="8"/>
  <c r="G10" i="8"/>
  <c r="F10" i="8"/>
  <c r="D10" i="8"/>
  <c r="B10" i="8"/>
  <c r="F9" i="8"/>
  <c r="C9" i="8"/>
  <c r="E8" i="8"/>
  <c r="C8" i="8"/>
  <c r="E7" i="8"/>
  <c r="C7" i="8"/>
  <c r="F6" i="8"/>
  <c r="B6" i="8"/>
  <c r="F5" i="8"/>
  <c r="B5" i="8"/>
  <c r="E14" i="8"/>
  <c r="D14" i="8"/>
  <c r="G13" i="8"/>
  <c r="D13" i="8"/>
  <c r="G12" i="8"/>
  <c r="D12" i="8"/>
  <c r="G11" i="8"/>
  <c r="D11" i="8"/>
  <c r="B11" i="8"/>
  <c r="E10" i="8"/>
  <c r="C10" i="8"/>
  <c r="G9" i="8"/>
  <c r="D9" i="8"/>
  <c r="G8" i="8"/>
  <c r="D8" i="8"/>
  <c r="G7" i="8"/>
  <c r="D7" i="8"/>
  <c r="G6" i="8"/>
  <c r="D6" i="8"/>
  <c r="G5" i="8"/>
  <c r="D5" i="8"/>
  <c r="G14" i="8"/>
  <c r="C14" i="8"/>
  <c r="E13" i="8"/>
  <c r="C13" i="8"/>
  <c r="F12" i="8"/>
  <c r="C12" i="8"/>
  <c r="F11" i="8"/>
  <c r="E9" i="8"/>
  <c r="B9" i="8"/>
  <c r="F8" i="8"/>
  <c r="B8" i="8"/>
  <c r="F7" i="8"/>
  <c r="B7" i="8"/>
  <c r="E6" i="8"/>
  <c r="C6" i="8"/>
  <c r="E5" i="8"/>
  <c r="C5" i="8"/>
  <c r="T6" i="7"/>
  <c r="T16" i="7" s="1"/>
  <c r="L16" i="7"/>
  <c r="B9" i="9" s="1"/>
  <c r="F27" i="8"/>
  <c r="B27" i="8"/>
  <c r="E26" i="8"/>
  <c r="B26" i="8"/>
  <c r="E25" i="8"/>
  <c r="C25" i="8"/>
  <c r="F24" i="8"/>
  <c r="C24" i="8"/>
  <c r="E23" i="8"/>
  <c r="B23" i="8"/>
  <c r="E22" i="8"/>
  <c r="B22" i="8"/>
  <c r="E21" i="8"/>
  <c r="B21" i="8"/>
  <c r="F20" i="8"/>
  <c r="B20" i="8"/>
  <c r="E19" i="8"/>
  <c r="B19" i="8"/>
  <c r="E18" i="8"/>
  <c r="B18" i="8"/>
  <c r="E27" i="8"/>
  <c r="D27" i="8"/>
  <c r="G26" i="8"/>
  <c r="C26" i="8"/>
  <c r="F25" i="8"/>
  <c r="D25" i="8"/>
  <c r="G24" i="8"/>
  <c r="D24" i="8"/>
  <c r="G23" i="8"/>
  <c r="D23" i="8"/>
  <c r="G22" i="8"/>
  <c r="D22" i="8"/>
  <c r="G21" i="8"/>
  <c r="D21" i="8"/>
  <c r="G20" i="8"/>
  <c r="C20" i="8"/>
  <c r="F19" i="8"/>
  <c r="D19" i="8"/>
  <c r="G18" i="8"/>
  <c r="D18" i="8"/>
  <c r="S6" i="7"/>
  <c r="S16" i="7" s="1"/>
  <c r="B11" i="9" s="1"/>
  <c r="G27" i="8"/>
  <c r="C27" i="8"/>
  <c r="F26" i="8"/>
  <c r="D26" i="8"/>
  <c r="G25" i="8"/>
  <c r="B25" i="8"/>
  <c r="E24" i="8"/>
  <c r="B24" i="8"/>
  <c r="F23" i="8"/>
  <c r="C23" i="8"/>
  <c r="F22" i="8"/>
  <c r="C22" i="8"/>
  <c r="F21" i="8"/>
  <c r="C21" i="8"/>
  <c r="E20" i="8"/>
  <c r="D20" i="8"/>
  <c r="G19" i="8"/>
  <c r="C19" i="8"/>
  <c r="F18" i="8"/>
  <c r="C18" i="8"/>
  <c r="B1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U12" authorId="0" shapeId="0" xr:uid="{00000000-0006-0000-0600-000001000000}">
      <text>
        <r>
          <rPr>
            <sz val="10"/>
            <rFont val="Arial"/>
            <family val="2"/>
          </rPr>
          <t>Le fichier source indique une part RGZ de 0 pour ANONYMAT (commission reversée à 100 % au commercial).</t>
        </r>
      </text>
    </comment>
  </commentList>
</comments>
</file>

<file path=xl/sharedStrings.xml><?xml version="1.0" encoding="utf-8"?>
<sst xmlns="http://schemas.openxmlformats.org/spreadsheetml/2006/main" count="587" uniqueCount="272">
  <si>
    <t>Plan de motivation commerciale RGZ, octobre 2026</t>
  </si>
  <si>
    <t>1. Ce qu'on mesure</t>
  </si>
  <si>
    <t>Chaque agent a un objectif du jour : son objectif du mois divisé par le nombre de jours ouvrés. Les ventes validées sont saisies chaque soir et le tableau du jour est partagé le soir même ou le lendemain matin dans le groupe de l'équipe.</t>
  </si>
  <si>
    <t>En fin de mois, on regarde le taux de réalisation (TRO) : ventes validées du mois divisées par l'objectif du mois, B2C et B2B confondus.</t>
  </si>
  <si>
    <t>Seules les ventes validées par Celtiis comptent. Une vente résiliée ou rejetée dans le mois est retirée du compteur.</t>
  </si>
  <si>
    <t>2. Ce que gagne un agent chaque jour</t>
  </si>
  <si>
    <t>Journée réussie : 200 FCFA chaque jour ouvré où l'agent atteint ou dépasse son objectif du jour. Un objectif de 1,75 vente par jour demande donc 2 ventes ce jour-là.</t>
  </si>
  <si>
    <t>Champion du jour : 1 000 FCFA à l'agent qui a le meilleur taux de réalisation de la journée, à condition d'avoir atteint son objectif du jour. Son nom est annoncé avec le tableau du jour.</t>
  </si>
  <si>
    <t>3. Ce que gagne un agent en fin de mois</t>
  </si>
  <si>
    <t xml:space="preserve">   TRO de 80 à 99 % : palier Engagé, 5 000 FCFA</t>
  </si>
  <si>
    <t xml:space="preserve">   TRO de 100 à 119 % : palier Objectif, 12 500 FCFA</t>
  </si>
  <si>
    <t xml:space="preserve">   TRO de 120 % et plus : palier Champion, 20 000 FCFA</t>
  </si>
  <si>
    <t>Bonus B2B : 5 000 FCFA à l'agent qui atteint ou dépasse son objectif B2B du mois.</t>
  </si>
  <si>
    <t>Ces montants s'ajoutent aux commissions one-shot habituelles.</t>
  </si>
  <si>
    <t>4. Ce que gagne un superviseur</t>
  </si>
  <si>
    <t>Chaque jour : 500 FCFA pour chaque jour ouvré où l'équipe dans son ensemble atteint son objectif du jour.</t>
  </si>
  <si>
    <t>En fin de mois, selon le TRO de l'équipe : 15 000 FCFA (Bronze) de 90 à 99 %, 30 000 FCFA (Argent) de 100 à 109 %, 50 000 FCFA (Or) à 110 % et plus.</t>
  </si>
  <si>
    <t>Condition pour la prime de fin de mois : au moins 60 % des agents de l'équipe finissent à 80 % de leur objectif ou plus. Une équipe qui tient grâce à un seul vendeur ne débloque pas la prime de son superviseur.</t>
  </si>
  <si>
    <t>Trophée de l'équipe du mois : enveloppe collective de 50 000 FCFA pour l'équipe classée première, si elle a atteint 100 % de son objectif.</t>
  </si>
  <si>
    <t>5. Règles de fonctionnement</t>
  </si>
  <si>
    <t>Les ventes faites un jour non ouvré comptent dans le total du mois, mais ce jour-là ne donne lieu à aucune prime journalière.</t>
  </si>
  <si>
    <t>Les agents sans objectif en octobre (pvt_rgz_hgilles, pvt_rgz_adidier) sont suivis mais ne touchent pas de primes.</t>
  </si>
  <si>
    <t>Les primes d'octobre, journalières comprises, sont payées au plus tard le 10 novembre avec les commissions, quel que soit le calendrier de paiement de Celtiis.</t>
  </si>
  <si>
    <t>En cas de fraude ou de vente fictive, l'agent perd toutes ses primes du mois et son superviseur perd la sienne.</t>
  </si>
  <si>
    <t>6. Mode d'emploi du fichier</t>
  </si>
  <si>
    <t>Chaque soir : saisir les ventes validées du jour dans Saisie B2C et Saisie B2B (cellules jaunes de la colonne du jour), puis indiquer le jour saisi dans Paramètres, cellule B10.</t>
  </si>
  <si>
    <t>Tableau du jour donne la photo de la journée à partager. Suivi Agents et Suivi Équipes donnent le cumul du mois. Classement donne le top 10 du mois. Budget compare le coût du plan à la marge RGZ.</t>
  </si>
  <si>
    <t>Les jours ouvrés sont réglés dans Paramètres, ligne 7 (lundi à vendredi par défaut ; mettre 1 sous les samedis si l'équipe travaille ce jour-là).</t>
  </si>
  <si>
    <t>Source des objectifs : onglet OBJECTIFS TRACKING du fichier Performance_partenaire_2026.xlsx (1 487 ventes). Réalisé de septembre : onglet POINT PAR LOGIN du même fichier.</t>
  </si>
  <si>
    <t>Paramètres du plan</t>
  </si>
  <si>
    <t>Cellules jaunes = valeurs modifiables. Tout le reste du fichier se recalcule à partir d'ici.</t>
  </si>
  <si>
    <t>Calendrier d'octobre</t>
  </si>
  <si>
    <t>Jour</t>
  </si>
  <si>
    <t>Date</t>
  </si>
  <si>
    <t>Jour de la semaine</t>
  </si>
  <si>
    <t>jeu</t>
  </si>
  <si>
    <t>ven</t>
  </si>
  <si>
    <t>sam</t>
  </si>
  <si>
    <t>dim</t>
  </si>
  <si>
    <t>lun</t>
  </si>
  <si>
    <t>mar</t>
  </si>
  <si>
    <t>mer</t>
  </si>
  <si>
    <t>Ouvré (1 = oui, 0 = non)</t>
  </si>
  <si>
    <t>Total jours ouvrés du mois</t>
  </si>
  <si>
    <t>Dernier jour saisi (1 à 31)</t>
  </si>
  <si>
    <t>Jours ouvrés écoulés</t>
  </si>
  <si>
    <t>Agents : paliers de fin de mois (TRO)</t>
  </si>
  <si>
    <t>Palier</t>
  </si>
  <si>
    <t>Seuil TRO</t>
  </si>
  <si>
    <t>Prime (FCFA)</t>
  </si>
  <si>
    <t>Aucun</t>
  </si>
  <si>
    <t>Engagé</t>
  </si>
  <si>
    <t>Objectif</t>
  </si>
  <si>
    <t>Champion</t>
  </si>
  <si>
    <t>Prime journée réussie (par jour ouvré)</t>
  </si>
  <si>
    <t>Prime champion du jour</t>
  </si>
  <si>
    <t>Bonus objectif B2B atteint (fin de mois)</t>
  </si>
  <si>
    <t>Superviseurs : paliers de fin de mois (TRO équipe)</t>
  </si>
  <si>
    <t>Bronze</t>
  </si>
  <si>
    <t>Argent</t>
  </si>
  <si>
    <t>Or</t>
  </si>
  <si>
    <t>Seuil pour compter un agent comme actif</t>
  </si>
  <si>
    <t>Taux d'activation minimum de l'équipe</t>
  </si>
  <si>
    <t>Prime superviseur par journée équipe réussie</t>
  </si>
  <si>
    <t>Trophée équipe du mois (enveloppe)</t>
  </si>
  <si>
    <t>TRO minimum pour le trophée</t>
  </si>
  <si>
    <t>Commissions one-shot (pour le calcul de marge)</t>
  </si>
  <si>
    <t>Commission par vente B2C</t>
  </si>
  <si>
    <t>Source : fichier Performance_partenaire_2026, colonnes ONE_SHOT (12 470 000 / 1 247 B2C ; 2 880 000 / 240 B2B). La part RGZ par équipe se règle dans Suivi Équipes.</t>
  </si>
  <si>
    <t>Commission par vente B2B</t>
  </si>
  <si>
    <t>Saisie B2C : ventes validées par jour</t>
  </si>
  <si>
    <t>Chaque soir, saisir le nombre de ventes validées dans la colonne du jour. Les colonnes grises sont des jours non ouvrés par défaut.</t>
  </si>
  <si>
    <t>Exemple : un agent a 2 ventes validées le lundi 5 octobre → saisir 2 dans la colonne « 5 lun ».</t>
  </si>
  <si>
    <t>Équipe</t>
  </si>
  <si>
    <t>Login</t>
  </si>
  <si>
    <t>Éligible</t>
  </si>
  <si>
    <t>1 jeu</t>
  </si>
  <si>
    <t>2 ven</t>
  </si>
  <si>
    <t>3 sam</t>
  </si>
  <si>
    <t>4 dim</t>
  </si>
  <si>
    <t>5 lun</t>
  </si>
  <si>
    <t>6 mar</t>
  </si>
  <si>
    <t>7 mer</t>
  </si>
  <si>
    <t>8 jeu</t>
  </si>
  <si>
    <t>9 ven</t>
  </si>
  <si>
    <t>10 sam</t>
  </si>
  <si>
    <t>11 dim</t>
  </si>
  <si>
    <t>12 lun</t>
  </si>
  <si>
    <t>13 mar</t>
  </si>
  <si>
    <t>14 mer</t>
  </si>
  <si>
    <t>15 jeu</t>
  </si>
  <si>
    <t>16 ven</t>
  </si>
  <si>
    <t>17 sam</t>
  </si>
  <si>
    <t>18 dim</t>
  </si>
  <si>
    <t>19 lun</t>
  </si>
  <si>
    <t>20 mar</t>
  </si>
  <si>
    <t>21 mer</t>
  </si>
  <si>
    <t>22 jeu</t>
  </si>
  <si>
    <t>23 ven</t>
  </si>
  <si>
    <t>24 sam</t>
  </si>
  <si>
    <t>25 dim</t>
  </si>
  <si>
    <t>26 lun</t>
  </si>
  <si>
    <t>27 mar</t>
  </si>
  <si>
    <t>28 mer</t>
  </si>
  <si>
    <t>29 jeu</t>
  </si>
  <si>
    <t>30 ven</t>
  </si>
  <si>
    <t>31 sam</t>
  </si>
  <si>
    <t>YANKEE</t>
  </si>
  <si>
    <t>pms_rgz_tosee.ftth</t>
  </si>
  <si>
    <t>Oui</t>
  </si>
  <si>
    <t>pvt_rgz_mfrancois.ftth</t>
  </si>
  <si>
    <t>pvt_rgz_fadji.ftth</t>
  </si>
  <si>
    <t>pvt_rgz_dcharmelie.ftth</t>
  </si>
  <si>
    <t>pvt_rgz_gkohla.ftth</t>
  </si>
  <si>
    <t>pvt_rgz_rclotoe.ftth</t>
  </si>
  <si>
    <t>pvt_rgz_aconstant.ftth</t>
  </si>
  <si>
    <t>pvt_rgz_cmessinou.ftth</t>
  </si>
  <si>
    <t>pvt_rgz_lsenakpon.ftth</t>
  </si>
  <si>
    <t>pvt_rgz_tletitia.ftth</t>
  </si>
  <si>
    <t>pvt_rgz_dalexis.ftth</t>
  </si>
  <si>
    <t>pvt_rgz_eulisse.ftth</t>
  </si>
  <si>
    <t>pvt_rgz_hgilles.ftth</t>
  </si>
  <si>
    <t>Non</t>
  </si>
  <si>
    <t>ALPHA</t>
  </si>
  <si>
    <t>pms_rgz_tgloria.ftth</t>
  </si>
  <si>
    <t>pms_rgz_dconstant.ftth</t>
  </si>
  <si>
    <t>pvt_rgz_bboris.ftth</t>
  </si>
  <si>
    <t>TANGO</t>
  </si>
  <si>
    <t>pvt_rgz_dthibaut.ftth</t>
  </si>
  <si>
    <t>pms_rgz_hfrancine.ftth</t>
  </si>
  <si>
    <t>pvt_rgz_wdiane.ftth</t>
  </si>
  <si>
    <t>pvt_rgz_gsahoui.ftth</t>
  </si>
  <si>
    <t>ZULU</t>
  </si>
  <si>
    <t>pvt-rgz-olouis.ftth</t>
  </si>
  <si>
    <t>pvt_rgz_ahugues.ftth</t>
  </si>
  <si>
    <t>pvt_rgz_adidier.ftth</t>
  </si>
  <si>
    <t>CHARLIE</t>
  </si>
  <si>
    <t>pms_rgz_wmarius.ftth</t>
  </si>
  <si>
    <t>pvt_rgz_tsylvia.ftth</t>
  </si>
  <si>
    <t>MIKE</t>
  </si>
  <si>
    <t>pvt_rgz_oalain.ftth</t>
  </si>
  <si>
    <t>pvt_rgz_sulrich.ftth</t>
  </si>
  <si>
    <t>pvt_rgz_hderrick.ftth</t>
  </si>
  <si>
    <t>pms_rgz_kromeo.ftth</t>
  </si>
  <si>
    <t>ANONYMAT</t>
  </si>
  <si>
    <t>pvt_rgz_gprince.ftth</t>
  </si>
  <si>
    <t>pvt_rgz_akoffi.ftth</t>
  </si>
  <si>
    <t>pvt_rgz_agado.ftth</t>
  </si>
  <si>
    <t>pvt_rgz_lcedric.ftth</t>
  </si>
  <si>
    <t>CONCORDE</t>
  </si>
  <si>
    <t>pvt_rgz_kbernadin.ftth</t>
  </si>
  <si>
    <t>pms_rgz_cmerveille.ftth</t>
  </si>
  <si>
    <t>pvt_rgz_kadebayo.ftth</t>
  </si>
  <si>
    <t>pms_rgz_abijou.ftth</t>
  </si>
  <si>
    <t>pms_rgz_svictor.ftth</t>
  </si>
  <si>
    <t>BRAVO</t>
  </si>
  <si>
    <t>pvt_rgz_afaoziath.ftth</t>
  </si>
  <si>
    <t>pvt_rgz_lgrace.ftth</t>
  </si>
  <si>
    <t>OMEGA</t>
  </si>
  <si>
    <t>pvt_rgz_mvenceslas</t>
  </si>
  <si>
    <t>pvt_rgz_amarcel</t>
  </si>
  <si>
    <t>pvt_rgz_ojeovani.ftth</t>
  </si>
  <si>
    <t>TOTAL</t>
  </si>
  <si>
    <t>Saisie B2B : ventes validées par jour</t>
  </si>
  <si>
    <t>Photo de la journée indiquée dans Paramètres (cellule B10), à partager avec l'équipe.</t>
  </si>
  <si>
    <t>Champion du jour :</t>
  </si>
  <si>
    <t>Obj. du jour</t>
  </si>
  <si>
    <t>Ventes du jour</t>
  </si>
  <si>
    <t>Objectif du jour atteint</t>
  </si>
  <si>
    <t>Cumul mois</t>
  </si>
  <si>
    <t>Obj. du mois</t>
  </si>
  <si>
    <t>TRO mois</t>
  </si>
  <si>
    <t>Rythme à date</t>
  </si>
  <si>
    <t>Superviseur</t>
  </si>
  <si>
    <t>Suivi des agents (cumul du mois)</t>
  </si>
  <si>
    <t>TRO = réalisé / objectif du mois. Rythme = réalisé / objectif attendu au dernier jour saisi.</t>
  </si>
  <si>
    <t>Obj. B2C</t>
  </si>
  <si>
    <t>Obj. B2B</t>
  </si>
  <si>
    <t>Obj. total</t>
  </si>
  <si>
    <t>Réalisé sept.</t>
  </si>
  <si>
    <t>Réal. B2C</t>
  </si>
  <si>
    <t>Réal. B2B</t>
  </si>
  <si>
    <t>Réal. total</t>
  </si>
  <si>
    <t>Obj. à date</t>
  </si>
  <si>
    <t>Reste à faire</t>
  </si>
  <si>
    <t>Journées réussies</t>
  </si>
  <si>
    <t>Fois champion du jour</t>
  </si>
  <si>
    <t>Prime palier</t>
  </si>
  <si>
    <t>Primes journées</t>
  </si>
  <si>
    <t>Primes champion</t>
  </si>
  <si>
    <t>Bonus B2B</t>
  </si>
  <si>
    <t>Total primes</t>
  </si>
  <si>
    <t>Rang</t>
  </si>
  <si>
    <t>score</t>
  </si>
  <si>
    <t>Suivi des équipes et des superviseurs (cumul du mois)</t>
  </si>
  <si>
    <t>La prime de fin de mois est bloquée si le taux d'activation de l'équipe est sous le minimum fixé dans Paramètres.</t>
  </si>
  <si>
    <t>TRO équipe</t>
  </si>
  <si>
    <t>Journées équipe réussies</t>
  </si>
  <si>
    <t>Agents avec objectif</t>
  </si>
  <si>
    <t>Agents actifs (≥ seuil)</t>
  </si>
  <si>
    <t>Taux d'activation</t>
  </si>
  <si>
    <t>Prime fin de mois</t>
  </si>
  <si>
    <t>Trophée</t>
  </si>
  <si>
    <t>Total superviseur</t>
  </si>
  <si>
    <t>Part RGZ</t>
  </si>
  <si>
    <t>Marge RGZ générée</t>
  </si>
  <si>
    <t>Classement du mois</t>
  </si>
  <si>
    <t>Top 10 des agents éligibles et classement des équipes, par TRO cumulé.</t>
  </si>
  <si>
    <t>Agent</t>
  </si>
  <si>
    <t>Réalisé</t>
  </si>
  <si>
    <t>TRO</t>
  </si>
  <si>
    <t>Palier superviseur</t>
  </si>
  <si>
    <t>Coût du plan et marge RGZ</t>
  </si>
  <si>
    <t>Le plan doit rester finançable par la marge que RGZ conserve sur les ventes.</t>
  </si>
  <si>
    <t>Situation réelle (à date)</t>
  </si>
  <si>
    <t>Primes journées réussies (agents)</t>
  </si>
  <si>
    <t>Primes champion du jour</t>
  </si>
  <si>
    <t>Primes de palier agents</t>
  </si>
  <si>
    <t>Bonus B2B agents</t>
  </si>
  <si>
    <t>Primes journalières superviseurs</t>
  </si>
  <si>
    <t>Primes fin de mois superviseurs</t>
  </si>
  <si>
    <t>Trophée équipe</t>
  </si>
  <si>
    <t>Coût total du plan</t>
  </si>
  <si>
    <t>Marge RGZ générée (part RGZ des commissions)</t>
  </si>
  <si>
    <t>Coût du plan / marge RGZ</t>
  </si>
  <si>
    <t>Simulation : tout le monde au même niveau de réalisation</t>
  </si>
  <si>
    <t>TRO simulé (agents et équipes)</t>
  </si>
  <si>
    <t>Agents éligibles</t>
  </si>
  <si>
    <t>Primes journées réussies (tous les jours si TRO ≥ 100 %)</t>
  </si>
  <si>
    <t>Coût total simulé</t>
  </si>
  <si>
    <t>Marge RGZ simulée</t>
  </si>
  <si>
    <t>Coût / marge simulés</t>
  </si>
  <si>
    <t>Note : la simulation suppose que tout le monde atteint son objectif tous les jours, ce qui majore fortement le coût journalier. Dans la réalité, les résultats sont dispersés et le coût est plus bas.</t>
  </si>
  <si>
    <t>Calculs journaliers (onglet technique, ne rien saisir)</t>
  </si>
  <si>
    <t>Ouvré</t>
  </si>
  <si>
    <t>Ventes du jour (B2C+B2B)</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</si>
  <si>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</si>
  <si>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</si>
  <si>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</si>
  <si>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</si>
  <si>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</si>
  <si>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</si>
  <si>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</si>
  <si>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</si>
  <si>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</si>
  <si>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</si>
  <si>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</si>
  <si>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</si>
  <si>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</si>
  <si>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</si>
  <si>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</si>
  <si>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</si>
  <si>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</si>
  <si>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</si>
  <si>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</si>
  <si>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</si>
  <si>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</si>
  <si>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</si>
  <si>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</si>
  <si>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</si>
  <si>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</si>
  <si>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</si>
  <si>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</si>
  <si>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</si>
  <si>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</si>
  <si>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</si>
  <si>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</si>
  <si>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Score du jour (taux de réalisation journalier, -1 si non éligible ou jour non compté)</t>
  </si>
  <si>
    <t>Meilleur score</t>
  </si>
  <si>
    <t>Champion du jour</t>
  </si>
  <si>
    <t>Ventes du jour par équipe</t>
  </si>
  <si>
    <t>Journée équipe réussie (1 = l'équipe a atteint son objectif du jour)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</si>
</sst>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
    <numFmt numFmtId="165" formatCode="0%;\-0%;\-"/>
    <numFmt numFmtId="166" formatCode="#,##0;\(#,##0\);\-"/>
    <numFmt numFmtId="167" formatCode="0.0"/>
    <numFmt numFmtId="168" formatCode="0.000"/>
  </numFmts>
  <fonts count="12" x14ac:knownFonts="1">
    <font>
      <sz val="11"/>
      <color theme="1"/>
      <name val="Calibri"/>
      <family val="2"/>
      <charset val="1"/>
    </font>
    <font>
      <b/>
      <sz val="14"/>
      <color rgb="FF1F3864"/>
      <name val="Arial"/>
      <charset val="1"/>
    </font>
    <font>
      <sz val="11"/>
      <name val="Arial"/>
      <charset val="1"/>
    </font>
    <font>
      <b/>
      <sz val="11"/>
      <color rgb="FF1F3864"/>
      <name val="Arial"/>
      <charset val="1"/>
    </font>
    <font>
      <i/>
      <sz val="11"/>
      <color rgb="FF595959"/>
      <name val="Arial"/>
      <charset val="1"/>
    </font>
    <font>
      <b/>
      <sz val="11"/>
      <name val="Arial"/>
      <charset val="1"/>
    </font>
    <font>
      <sz val="11"/>
      <color theme="1"/>
      <name val="Arial"/>
      <charset val="1"/>
    </font>
    <font>
      <b/>
      <sz val="11"/>
      <color rgb="FFFFFFFF"/>
      <name val="Arial"/>
      <charset val="1"/>
    </font>
    <font>
      <sz val="11"/>
      <color rgb="FF0000FF"/>
      <name val="Arial"/>
      <charset val="1"/>
    </font>
    <font>
      <b/>
      <sz val="11"/>
      <color rgb="FFC00000"/>
      <name val="Arial"/>
      <charset val="1"/>
    </font>
    <font>
      <sz val="8"/>
      <color rgb="FFA6A6A6"/>
      <name val="Arial"/>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9D9D9"/>
        <bgColor rgb="FFC6EFCE"/>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4" fillId="0" borderId="0" xfId="0" applyFont="1" applyAlignment="1">
      <alignment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vertical="center" wrapText="1"/>
    </xf>
    <xf numFmtId="164"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8" fillId="3" borderId="0" xfId="0" applyFont="1" applyFill="1" applyAlignment="1">
      <alignment horizontal="center" vertical="center" wrapText="1"/>
    </xf>
    <xf numFmtId="0" fontId="8" fillId="3" borderId="0" xfId="0" applyFont="1" applyFill="1"/>
    <xf numFmtId="0" fontId="7" fillId="2" borderId="1" xfId="0" applyFont="1" applyFill="1" applyBorder="1" applyAlignment="1">
      <alignment horizontal="center" vertical="center" wrapText="1"/>
    </xf>
    <xf numFmtId="165" fontId="8" fillId="3" borderId="0" xfId="0" applyNumberFormat="1" applyFont="1" applyFill="1"/>
    <xf numFmtId="166" fontId="8" fillId="3" borderId="0" xfId="0" applyNumberFormat="1" applyFont="1" applyFill="1"/>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9" fillId="0" borderId="0" xfId="0" applyFont="1"/>
    <xf numFmtId="0" fontId="2" fillId="0" borderId="1" xfId="0" applyFont="1" applyBorder="1"/>
    <xf numFmtId="167" fontId="2" fillId="0" borderId="1" xfId="0" applyNumberFormat="1" applyFont="1" applyBorder="1"/>
    <xf numFmtId="9" fontId="2" fillId="0" borderId="1" xfId="0" applyNumberFormat="1" applyFont="1" applyBorder="1"/>
    <xf numFmtId="0" fontId="6" fillId="0" borderId="1" xfId="0" applyFont="1" applyBorder="1"/>
    <xf numFmtId="0" fontId="8" fillId="0" borderId="1" xfId="0" applyFont="1" applyBorder="1"/>
    <xf numFmtId="167" fontId="6" fillId="0" borderId="1" xfId="0" applyNumberFormat="1" applyFont="1" applyBorder="1"/>
    <xf numFmtId="9" fontId="6" fillId="0" borderId="1" xfId="0" applyNumberFormat="1" applyFont="1" applyBorder="1"/>
    <xf numFmtId="166" fontId="6" fillId="0" borderId="1" xfId="0" applyNumberFormat="1" applyFont="1" applyBorder="1"/>
    <xf numFmtId="168" fontId="10" fillId="0" borderId="1" xfId="0" applyNumberFormat="1" applyFont="1" applyBorder="1"/>
    <xf numFmtId="0" fontId="5" fillId="5" borderId="1" xfId="0" applyFont="1" applyFill="1" applyBorder="1"/>
    <xf numFmtId="0" fontId="0" fillId="5" borderId="1" xfId="0" applyFill="1" applyBorder="1"/>
    <xf numFmtId="3" fontId="5" fillId="5" borderId="1" xfId="0" applyNumberFormat="1" applyFont="1" applyFill="1" applyBorder="1"/>
    <xf numFmtId="167" fontId="5" fillId="5" borderId="1" xfId="0" applyNumberFormat="1" applyFont="1" applyFill="1" applyBorder="1"/>
    <xf numFmtId="9" fontId="6" fillId="5" borderId="1" xfId="0" applyNumberFormat="1" applyFont="1" applyFill="1" applyBorder="1"/>
    <xf numFmtId="166" fontId="5" fillId="5" borderId="1" xfId="0" applyNumberFormat="1" applyFont="1" applyFill="1" applyBorder="1"/>
    <xf numFmtId="0" fontId="8" fillId="3" borderId="1" xfId="0" applyFont="1" applyFill="1" applyBorder="1"/>
    <xf numFmtId="9" fontId="8" fillId="3" borderId="1" xfId="0" applyNumberFormat="1" applyFont="1" applyFill="1" applyBorder="1"/>
    <xf numFmtId="0" fontId="2" fillId="0" borderId="1" xfId="0" applyFont="1" applyBorder="1" applyAlignment="1">
      <alignment horizontal="center" vertical="center" wrapText="1"/>
    </xf>
    <xf numFmtId="166" fontId="6" fillId="0" borderId="0" xfId="0" applyNumberFormat="1" applyFont="1"/>
    <xf numFmtId="166" fontId="5" fillId="0" borderId="0" xfId="0" applyNumberFormat="1" applyFont="1"/>
    <xf numFmtId="9" fontId="5" fillId="0" borderId="0" xfId="0" applyNumberFormat="1" applyFont="1"/>
    <xf numFmtId="9" fontId="8" fillId="3" borderId="0" xfId="0" applyNumberFormat="1" applyFont="1" applyFill="1"/>
    <xf numFmtId="1" fontId="6" fillId="0" borderId="0" xfId="0" applyNumberFormat="1" applyFont="1"/>
    <xf numFmtId="2" fontId="6" fillId="0" borderId="0" xfId="0" applyNumberFormat="1" applyFont="1"/>
  </cellXfs>
  <cellStyles count="1">
    <cellStyle name="Normal" xfId="0" builtinId="0"/>
  </cellStyles>
  <dxfs count="19">
    <dxf>
      <fill>
        <patternFill>
          <bgColor rgb="FFC6EFCE"/>
        </patternFill>
      </fill>
    </dxf>
    <dxf>
      <fill>
        <patternFill>
          <bgColor rgb="FFFFE699"/>
        </patternFill>
      </fill>
    </dxf>
    <dxf>
      <fill>
        <patternFill>
          <bgColor rgb="FFF8CBAD"/>
        </patternFill>
      </fill>
    </dxf>
    <dxf>
      <fill>
        <patternFill>
          <bgColor rgb="FFC6EFCE"/>
        </patternFill>
      </fill>
    </dxf>
    <dxf>
      <fill>
        <patternFill>
          <bgColor rgb="FFFFE699"/>
        </patternFill>
      </fill>
    </dxf>
    <dxf>
      <fill>
        <patternFill>
          <bgColor rgb="FFF8CBAD"/>
        </patternFill>
      </fill>
    </dxf>
    <dxf>
      <fill>
        <patternFill>
          <bgColor rgb="FFC6EFCE"/>
        </patternFill>
      </fill>
    </dxf>
    <dxf>
      <fill>
        <patternFill>
          <bgColor rgb="FFFFE699"/>
        </patternFill>
      </fill>
    </dxf>
    <dxf>
      <fill>
        <patternFill>
          <bgColor rgb="FFF8CBAD"/>
        </patternFill>
      </fill>
    </dxf>
    <dxf>
      <fill>
        <patternFill>
          <bgColor rgb="FFC6EFCE"/>
        </patternFill>
      </fill>
    </dxf>
    <dxf>
      <fill>
        <patternFill>
          <bgColor rgb="FFFFE699"/>
        </patternFill>
      </fill>
    </dxf>
    <dxf>
      <fill>
        <patternFill>
          <bgColor rgb="FFF8CBAD"/>
        </patternFill>
      </fill>
    </dxf>
    <dxf>
      <fill>
        <patternFill>
          <bgColor rgb="FFC6EFCE"/>
        </patternFill>
      </fill>
    </dxf>
    <dxf>
      <fill>
        <patternFill>
          <bgColor rgb="FFFFE699"/>
        </patternFill>
      </fill>
    </dxf>
    <dxf>
      <fill>
        <patternFill>
          <bgColor rgb="FFF8CBAD"/>
        </patternFill>
      </fill>
    </dxf>
    <dxf>
      <fill>
        <patternFill>
          <bgColor rgb="FFF8CBAD"/>
        </patternFill>
      </fill>
    </dxf>
    <dxf>
      <fill>
        <patternFill>
          <bgColor rgb="FFC6EFCE"/>
        </patternFill>
      </fill>
    </dxf>
    <dxf>
      <fill>
        <patternFill>
          <bgColor rgb="FFF8CBAD"/>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5"/>
  <sheetViews>
    <sheetView tabSelected="1" zoomScaleNormal="100" workbookViewId="0"/>
  </sheetViews>
  <sheetFormatPr defaultColWidth="8.6640625" defaultRowHeight="14.25" x14ac:dyDescent="0.45"/>
  <cols>
    <col min="1" max="1" width="120" customWidth="1"/>
  </cols>
  <sheetData>
    <row r="1" spans="1:1" ht="17.649999999999999" x14ac:dyDescent="0.45">
      <c r="A1" s="2" t="s">
        <v>0</v>
      </c>
    </row>
    <row r="2" spans="1:1" x14ac:dyDescent="0.45">
      <c r="A2" s="3"/>
    </row>
    <row r="3" spans="1:1" x14ac:dyDescent="0.45">
      <c r="A3" s="4" t="s">
        <v>1</v>
      </c>
    </row>
    <row r="4" spans="1:1" ht="27" x14ac:dyDescent="0.45">
      <c r="A4" s="3" t="s">
        <v>2</v>
      </c>
    </row>
    <row r="5" spans="1:1" x14ac:dyDescent="0.45">
      <c r="A5" s="3" t="s">
        <v>3</v>
      </c>
    </row>
    <row r="6" spans="1:1" x14ac:dyDescent="0.45">
      <c r="A6" s="3" t="s">
        <v>4</v>
      </c>
    </row>
    <row r="7" spans="1:1" x14ac:dyDescent="0.45">
      <c r="A7" s="3"/>
    </row>
    <row r="8" spans="1:1" x14ac:dyDescent="0.45">
      <c r="A8" s="4" t="s">
        <v>5</v>
      </c>
    </row>
    <row r="9" spans="1:1" ht="27" x14ac:dyDescent="0.45">
      <c r="A9" s="3" t="s">
        <v>6</v>
      </c>
    </row>
    <row r="10" spans="1:1" ht="27" x14ac:dyDescent="0.45">
      <c r="A10" s="3" t="s">
        <v>7</v>
      </c>
    </row>
    <row r="11" spans="1:1" x14ac:dyDescent="0.45">
      <c r="A11" s="3"/>
    </row>
    <row r="12" spans="1:1" x14ac:dyDescent="0.45">
      <c r="A12" s="4" t="s">
        <v>8</v>
      </c>
    </row>
    <row r="13" spans="1:1" x14ac:dyDescent="0.45">
      <c r="A13" s="3" t="s">
        <v>9</v>
      </c>
    </row>
    <row r="14" spans="1:1" x14ac:dyDescent="0.45">
      <c r="A14" s="3" t="s">
        <v>10</v>
      </c>
    </row>
    <row r="15" spans="1:1" x14ac:dyDescent="0.45">
      <c r="A15" s="3" t="s">
        <v>11</v>
      </c>
    </row>
    <row r="16" spans="1:1" x14ac:dyDescent="0.45">
      <c r="A16" s="3" t="s">
        <v>12</v>
      </c>
    </row>
    <row r="17" spans="1:1" x14ac:dyDescent="0.45">
      <c r="A17" s="3" t="s">
        <v>13</v>
      </c>
    </row>
    <row r="18" spans="1:1" x14ac:dyDescent="0.45">
      <c r="A18" s="3"/>
    </row>
    <row r="19" spans="1:1" x14ac:dyDescent="0.45">
      <c r="A19" s="4" t="s">
        <v>14</v>
      </c>
    </row>
    <row r="20" spans="1:1" x14ac:dyDescent="0.45">
      <c r="A20" s="3" t="s">
        <v>15</v>
      </c>
    </row>
    <row r="21" spans="1:1" ht="27" x14ac:dyDescent="0.45">
      <c r="A21" s="3" t="s">
        <v>16</v>
      </c>
    </row>
    <row r="22" spans="1:1" ht="27" x14ac:dyDescent="0.45">
      <c r="A22" s="3" t="s">
        <v>17</v>
      </c>
    </row>
    <row r="23" spans="1:1" ht="27" x14ac:dyDescent="0.45">
      <c r="A23" s="3" t="s">
        <v>18</v>
      </c>
    </row>
    <row r="24" spans="1:1" x14ac:dyDescent="0.45">
      <c r="A24" s="3"/>
    </row>
    <row r="25" spans="1:1" x14ac:dyDescent="0.45">
      <c r="A25" s="4" t="s">
        <v>19</v>
      </c>
    </row>
    <row r="26" spans="1:1" x14ac:dyDescent="0.45">
      <c r="A26" s="3" t="s">
        <v>20</v>
      </c>
    </row>
    <row r="27" spans="1:1" x14ac:dyDescent="0.45">
      <c r="A27" s="3" t="s">
        <v>21</v>
      </c>
    </row>
    <row r="28" spans="1:1" ht="27" x14ac:dyDescent="0.45">
      <c r="A28" s="3" t="s">
        <v>22</v>
      </c>
    </row>
    <row r="29" spans="1:1" x14ac:dyDescent="0.45">
      <c r="A29" s="3" t="s">
        <v>23</v>
      </c>
    </row>
    <row r="30" spans="1:1" x14ac:dyDescent="0.45">
      <c r="A30" s="3"/>
    </row>
    <row r="31" spans="1:1" x14ac:dyDescent="0.45">
      <c r="A31" s="4" t="s">
        <v>24</v>
      </c>
    </row>
    <row r="32" spans="1:1" ht="27" x14ac:dyDescent="0.45">
      <c r="A32" s="3" t="s">
        <v>25</v>
      </c>
    </row>
    <row r="33" spans="1:1" ht="27" x14ac:dyDescent="0.45">
      <c r="A33" s="3" t="s">
        <v>26</v>
      </c>
    </row>
    <row r="34" spans="1:1" ht="27" x14ac:dyDescent="0.45">
      <c r="A34" s="3" t="s">
        <v>27</v>
      </c>
    </row>
    <row r="35" spans="1:1" ht="27" x14ac:dyDescent="0.45">
      <c r="A35" s="3"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9"/>
  <sheetViews>
    <sheetView zoomScaleNormal="100" workbookViewId="0"/>
  </sheetViews>
  <sheetFormatPr defaultColWidth="8.6640625" defaultRowHeight="14.25" x14ac:dyDescent="0.45"/>
  <cols>
    <col min="1" max="1" width="44" customWidth="1"/>
    <col min="2" max="32" width="6" customWidth="1"/>
  </cols>
  <sheetData>
    <row r="1" spans="1:32" ht="17.649999999999999" x14ac:dyDescent="0.5">
      <c r="A1" s="5" t="s">
        <v>29</v>
      </c>
    </row>
    <row r="2" spans="1:32" x14ac:dyDescent="0.45">
      <c r="A2" s="6" t="s">
        <v>30</v>
      </c>
    </row>
    <row r="3" spans="1:32" x14ac:dyDescent="0.45">
      <c r="A3" s="7" t="s">
        <v>31</v>
      </c>
    </row>
    <row r="4" spans="1:32" x14ac:dyDescent="0.45">
      <c r="A4" s="8" t="s">
        <v>32</v>
      </c>
      <c r="B4" s="9">
        <v>1</v>
      </c>
      <c r="C4" s="9">
        <v>2</v>
      </c>
      <c r="D4" s="9">
        <v>3</v>
      </c>
      <c r="E4" s="9">
        <v>4</v>
      </c>
      <c r="F4" s="9">
        <v>5</v>
      </c>
      <c r="G4" s="9">
        <v>6</v>
      </c>
      <c r="H4" s="9">
        <v>7</v>
      </c>
      <c r="I4" s="9">
        <v>8</v>
      </c>
      <c r="J4" s="9">
        <v>9</v>
      </c>
      <c r="K4" s="9">
        <v>10</v>
      </c>
      <c r="L4" s="9">
        <v>11</v>
      </c>
      <c r="M4" s="9">
        <v>12</v>
      </c>
      <c r="N4" s="9">
        <v>13</v>
      </c>
      <c r="O4" s="9">
        <v>14</v>
      </c>
      <c r="P4" s="9">
        <v>15</v>
      </c>
      <c r="Q4" s="9">
        <v>16</v>
      </c>
      <c r="R4" s="9">
        <v>17</v>
      </c>
      <c r="S4" s="9">
        <v>18</v>
      </c>
      <c r="T4" s="9">
        <v>19</v>
      </c>
      <c r="U4" s="9">
        <v>20</v>
      </c>
      <c r="V4" s="9">
        <v>21</v>
      </c>
      <c r="W4" s="9">
        <v>22</v>
      </c>
      <c r="X4" s="9">
        <v>23</v>
      </c>
      <c r="Y4" s="9">
        <v>24</v>
      </c>
      <c r="Z4" s="9">
        <v>25</v>
      </c>
      <c r="AA4" s="9">
        <v>26</v>
      </c>
      <c r="AB4" s="9">
        <v>27</v>
      </c>
      <c r="AC4" s="9">
        <v>28</v>
      </c>
      <c r="AD4" s="9">
        <v>29</v>
      </c>
      <c r="AE4" s="9">
        <v>30</v>
      </c>
      <c r="AF4" s="9">
        <v>31</v>
      </c>
    </row>
    <row r="5" spans="1:32" x14ac:dyDescent="0.45">
      <c r="A5" s="8" t="s">
        <v>33</v>
      </c>
      <c r="B5" s="10">
        <v>46296</v>
      </c>
      <c r="C5" s="10">
        <v>46297</v>
      </c>
      <c r="D5" s="10">
        <v>46298</v>
      </c>
      <c r="E5" s="10">
        <v>46299</v>
      </c>
      <c r="F5" s="10">
        <v>46300</v>
      </c>
      <c r="G5" s="10">
        <v>46301</v>
      </c>
      <c r="H5" s="10">
        <v>46302</v>
      </c>
      <c r="I5" s="10">
        <v>46303</v>
      </c>
      <c r="J5" s="10">
        <v>46304</v>
      </c>
      <c r="K5" s="10">
        <v>46305</v>
      </c>
      <c r="L5" s="10">
        <v>46306</v>
      </c>
      <c r="M5" s="10">
        <v>46307</v>
      </c>
      <c r="N5" s="10">
        <v>46308</v>
      </c>
      <c r="O5" s="10">
        <v>46309</v>
      </c>
      <c r="P5" s="10">
        <v>46310</v>
      </c>
      <c r="Q5" s="10">
        <v>46311</v>
      </c>
      <c r="R5" s="10">
        <v>46312</v>
      </c>
      <c r="S5" s="10">
        <v>46313</v>
      </c>
      <c r="T5" s="10">
        <v>46314</v>
      </c>
      <c r="U5" s="10">
        <v>46315</v>
      </c>
      <c r="V5" s="10">
        <v>46316</v>
      </c>
      <c r="W5" s="10">
        <v>46317</v>
      </c>
      <c r="X5" s="10">
        <v>46318</v>
      </c>
      <c r="Y5" s="10">
        <v>46319</v>
      </c>
      <c r="Z5" s="10">
        <v>46320</v>
      </c>
      <c r="AA5" s="10">
        <v>46321</v>
      </c>
      <c r="AB5" s="10">
        <v>46322</v>
      </c>
      <c r="AC5" s="10">
        <v>46323</v>
      </c>
      <c r="AD5" s="10">
        <v>46324</v>
      </c>
      <c r="AE5" s="10">
        <v>46325</v>
      </c>
      <c r="AF5" s="10">
        <v>46326</v>
      </c>
    </row>
    <row r="6" spans="1:32" x14ac:dyDescent="0.45">
      <c r="A6" s="8" t="s">
        <v>34</v>
      </c>
      <c r="B6" s="11" t="s">
        <v>35</v>
      </c>
      <c r="C6" s="11" t="s">
        <v>36</v>
      </c>
      <c r="D6" s="11" t="s">
        <v>37</v>
      </c>
      <c r="E6" s="11" t="s">
        <v>38</v>
      </c>
      <c r="F6" s="11" t="s">
        <v>39</v>
      </c>
      <c r="G6" s="11" t="s">
        <v>40</v>
      </c>
      <c r="H6" s="11" t="s">
        <v>41</v>
      </c>
      <c r="I6" s="11" t="s">
        <v>35</v>
      </c>
      <c r="J6" s="11" t="s">
        <v>36</v>
      </c>
      <c r="K6" s="11" t="s">
        <v>37</v>
      </c>
      <c r="L6" s="11" t="s">
        <v>38</v>
      </c>
      <c r="M6" s="11" t="s">
        <v>39</v>
      </c>
      <c r="N6" s="11" t="s">
        <v>40</v>
      </c>
      <c r="O6" s="11" t="s">
        <v>41</v>
      </c>
      <c r="P6" s="11" t="s">
        <v>35</v>
      </c>
      <c r="Q6" s="11" t="s">
        <v>36</v>
      </c>
      <c r="R6" s="11" t="s">
        <v>37</v>
      </c>
      <c r="S6" s="11" t="s">
        <v>38</v>
      </c>
      <c r="T6" s="11" t="s">
        <v>39</v>
      </c>
      <c r="U6" s="11" t="s">
        <v>40</v>
      </c>
      <c r="V6" s="11" t="s">
        <v>41</v>
      </c>
      <c r="W6" s="11" t="s">
        <v>35</v>
      </c>
      <c r="X6" s="11" t="s">
        <v>36</v>
      </c>
      <c r="Y6" s="11" t="s">
        <v>37</v>
      </c>
      <c r="Z6" s="11" t="s">
        <v>38</v>
      </c>
      <c r="AA6" s="11" t="s">
        <v>39</v>
      </c>
      <c r="AB6" s="11" t="s">
        <v>40</v>
      </c>
      <c r="AC6" s="11" t="s">
        <v>41</v>
      </c>
      <c r="AD6" s="11" t="s">
        <v>35</v>
      </c>
      <c r="AE6" s="11" t="s">
        <v>36</v>
      </c>
      <c r="AF6" s="11" t="s">
        <v>37</v>
      </c>
    </row>
    <row r="7" spans="1:32" x14ac:dyDescent="0.45">
      <c r="A7" s="8" t="s">
        <v>42</v>
      </c>
      <c r="B7" s="12">
        <v>1</v>
      </c>
      <c r="C7" s="12">
        <v>1</v>
      </c>
      <c r="D7" s="12">
        <v>0</v>
      </c>
      <c r="E7" s="12">
        <v>0</v>
      </c>
      <c r="F7" s="12">
        <v>1</v>
      </c>
      <c r="G7" s="12">
        <v>1</v>
      </c>
      <c r="H7" s="12">
        <v>1</v>
      </c>
      <c r="I7" s="12">
        <v>1</v>
      </c>
      <c r="J7" s="12">
        <v>1</v>
      </c>
      <c r="K7" s="12">
        <v>0</v>
      </c>
      <c r="L7" s="12">
        <v>0</v>
      </c>
      <c r="M7" s="12">
        <v>1</v>
      </c>
      <c r="N7" s="12">
        <v>1</v>
      </c>
      <c r="O7" s="12">
        <v>1</v>
      </c>
      <c r="P7" s="12">
        <v>1</v>
      </c>
      <c r="Q7" s="12">
        <v>1</v>
      </c>
      <c r="R7" s="12">
        <v>0</v>
      </c>
      <c r="S7" s="12">
        <v>0</v>
      </c>
      <c r="T7" s="12">
        <v>1</v>
      </c>
      <c r="U7" s="12">
        <v>1</v>
      </c>
      <c r="V7" s="12">
        <v>1</v>
      </c>
      <c r="W7" s="12">
        <v>1</v>
      </c>
      <c r="X7" s="12">
        <v>1</v>
      </c>
      <c r="Y7" s="12">
        <v>0</v>
      </c>
      <c r="Z7" s="12">
        <v>0</v>
      </c>
      <c r="AA7" s="12">
        <v>1</v>
      </c>
      <c r="AB7" s="12">
        <v>1</v>
      </c>
      <c r="AC7" s="12">
        <v>1</v>
      </c>
      <c r="AD7" s="12">
        <v>1</v>
      </c>
      <c r="AE7" s="12">
        <v>1</v>
      </c>
      <c r="AF7" s="12">
        <v>0</v>
      </c>
    </row>
    <row r="9" spans="1:32" x14ac:dyDescent="0.45">
      <c r="A9" s="8" t="s">
        <v>43</v>
      </c>
      <c r="B9" s="8">
        <f>SUM(B7:AF7)</f>
        <v>22</v>
      </c>
    </row>
    <row r="10" spans="1:32" x14ac:dyDescent="0.45">
      <c r="A10" s="8" t="s">
        <v>44</v>
      </c>
      <c r="B10" s="13">
        <v>1</v>
      </c>
    </row>
    <row r="11" spans="1:32" x14ac:dyDescent="0.45">
      <c r="A11" s="8" t="s">
        <v>45</v>
      </c>
      <c r="B11" s="8">
        <f>SUMPRODUCT((B4:AF4&lt;=B10)*B7:AF7)</f>
        <v>1</v>
      </c>
    </row>
    <row r="13" spans="1:32" x14ac:dyDescent="0.45">
      <c r="A13" s="7" t="s">
        <v>46</v>
      </c>
    </row>
    <row r="14" spans="1:32" ht="55.5" x14ac:dyDescent="0.45">
      <c r="A14" s="14" t="s">
        <v>47</v>
      </c>
      <c r="B14" s="14" t="s">
        <v>48</v>
      </c>
      <c r="C14" s="14" t="s">
        <v>49</v>
      </c>
    </row>
    <row r="15" spans="1:32" x14ac:dyDescent="0.45">
      <c r="A15" s="8" t="s">
        <v>50</v>
      </c>
      <c r="B15" s="15">
        <v>0</v>
      </c>
      <c r="C15" s="16">
        <v>0</v>
      </c>
    </row>
    <row r="16" spans="1:32" x14ac:dyDescent="0.45">
      <c r="A16" s="8" t="s">
        <v>51</v>
      </c>
      <c r="B16" s="15">
        <v>0.8</v>
      </c>
      <c r="C16" s="16">
        <v>5000</v>
      </c>
    </row>
    <row r="17" spans="1:3" x14ac:dyDescent="0.45">
      <c r="A17" s="8" t="s">
        <v>52</v>
      </c>
      <c r="B17" s="15">
        <v>1</v>
      </c>
      <c r="C17" s="16">
        <v>12500</v>
      </c>
    </row>
    <row r="18" spans="1:3" x14ac:dyDescent="0.45">
      <c r="A18" s="8" t="s">
        <v>53</v>
      </c>
      <c r="B18" s="15">
        <v>1.2</v>
      </c>
      <c r="C18" s="16">
        <v>20000</v>
      </c>
    </row>
    <row r="20" spans="1:3" x14ac:dyDescent="0.45">
      <c r="A20" s="8" t="s">
        <v>54</v>
      </c>
      <c r="C20" s="16">
        <v>200</v>
      </c>
    </row>
    <row r="21" spans="1:3" x14ac:dyDescent="0.45">
      <c r="A21" s="8" t="s">
        <v>55</v>
      </c>
      <c r="C21" s="16">
        <v>1000</v>
      </c>
    </row>
    <row r="22" spans="1:3" x14ac:dyDescent="0.45">
      <c r="A22" s="8" t="s">
        <v>56</v>
      </c>
      <c r="C22" s="16">
        <v>5000</v>
      </c>
    </row>
    <row r="24" spans="1:3" x14ac:dyDescent="0.45">
      <c r="A24" s="7" t="s">
        <v>57</v>
      </c>
    </row>
    <row r="25" spans="1:3" ht="55.5" x14ac:dyDescent="0.45">
      <c r="A25" s="14" t="s">
        <v>47</v>
      </c>
      <c r="B25" s="14" t="s">
        <v>48</v>
      </c>
      <c r="C25" s="14" t="s">
        <v>49</v>
      </c>
    </row>
    <row r="26" spans="1:3" x14ac:dyDescent="0.45">
      <c r="A26" s="8" t="s">
        <v>50</v>
      </c>
      <c r="B26" s="15">
        <v>0</v>
      </c>
      <c r="C26" s="16">
        <v>0</v>
      </c>
    </row>
    <row r="27" spans="1:3" x14ac:dyDescent="0.45">
      <c r="A27" s="8" t="s">
        <v>58</v>
      </c>
      <c r="B27" s="15">
        <v>0.9</v>
      </c>
      <c r="C27" s="16">
        <v>15000</v>
      </c>
    </row>
    <row r="28" spans="1:3" x14ac:dyDescent="0.45">
      <c r="A28" s="8" t="s">
        <v>59</v>
      </c>
      <c r="B28" s="15">
        <v>1</v>
      </c>
      <c r="C28" s="16">
        <v>30000</v>
      </c>
    </row>
    <row r="29" spans="1:3" x14ac:dyDescent="0.45">
      <c r="A29" s="8" t="s">
        <v>60</v>
      </c>
      <c r="B29" s="15">
        <v>1.1000000000000001</v>
      </c>
      <c r="C29" s="16">
        <v>50000</v>
      </c>
    </row>
    <row r="31" spans="1:3" x14ac:dyDescent="0.45">
      <c r="A31" s="8" t="s">
        <v>61</v>
      </c>
      <c r="C31" s="15">
        <v>0.8</v>
      </c>
    </row>
    <row r="32" spans="1:3" x14ac:dyDescent="0.45">
      <c r="A32" s="8" t="s">
        <v>62</v>
      </c>
      <c r="C32" s="15">
        <v>0.6</v>
      </c>
    </row>
    <row r="33" spans="1:4" x14ac:dyDescent="0.45">
      <c r="A33" s="8" t="s">
        <v>63</v>
      </c>
      <c r="C33" s="16">
        <v>500</v>
      </c>
    </row>
    <row r="34" spans="1:4" x14ac:dyDescent="0.45">
      <c r="A34" s="8" t="s">
        <v>64</v>
      </c>
      <c r="C34" s="16">
        <v>50000</v>
      </c>
    </row>
    <row r="35" spans="1:4" x14ac:dyDescent="0.45">
      <c r="A35" s="8" t="s">
        <v>65</v>
      </c>
      <c r="C35" s="15">
        <v>1</v>
      </c>
    </row>
    <row r="37" spans="1:4" x14ac:dyDescent="0.45">
      <c r="A37" s="7" t="s">
        <v>66</v>
      </c>
    </row>
    <row r="38" spans="1:4" x14ac:dyDescent="0.45">
      <c r="A38" s="8" t="s">
        <v>67</v>
      </c>
      <c r="C38" s="16">
        <v>10000</v>
      </c>
      <c r="D38" s="6" t="s">
        <v>68</v>
      </c>
    </row>
    <row r="39" spans="1:4" x14ac:dyDescent="0.45">
      <c r="A39" s="8" t="s">
        <v>69</v>
      </c>
      <c r="C39" s="16">
        <v>12000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9"/>
  <sheetViews>
    <sheetView zoomScaleNormal="100" workbookViewId="0">
      <pane xSplit="3" ySplit="5" topLeftCell="D6" activePane="bottomRight" state="frozen"/>
      <selection pane="topRight" activeCell="D1" sqref="D1"/>
      <selection pane="bottomLeft" activeCell="A6" sqref="A6"/>
      <selection pane="bottomRight"/>
    </sheetView>
  </sheetViews>
  <sheetFormatPr defaultColWidth="8.6640625" defaultRowHeight="14.25" x14ac:dyDescent="0.45"/>
  <cols>
    <col min="1" max="1" width="11" customWidth="1"/>
    <col min="2" max="2" width="24" customWidth="1"/>
    <col min="3" max="3" width="8" customWidth="1"/>
    <col min="4" max="34" width="5.53125" customWidth="1"/>
  </cols>
  <sheetData>
    <row r="1" spans="1:34" ht="17.649999999999999" x14ac:dyDescent="0.5">
      <c r="A1" s="5" t="s">
        <v>70</v>
      </c>
    </row>
    <row r="2" spans="1:34" x14ac:dyDescent="0.45">
      <c r="A2" s="6" t="s">
        <v>71</v>
      </c>
    </row>
    <row r="3" spans="1:34" x14ac:dyDescent="0.45">
      <c r="A3" s="6" t="s">
        <v>72</v>
      </c>
    </row>
    <row r="5" spans="1:34" ht="30" customHeight="1" x14ac:dyDescent="0.45">
      <c r="A5" s="14" t="s">
        <v>73</v>
      </c>
      <c r="B5" s="14" t="s">
        <v>74</v>
      </c>
      <c r="C5" s="14" t="s">
        <v>75</v>
      </c>
      <c r="D5" s="14" t="s">
        <v>76</v>
      </c>
      <c r="E5" s="14" t="s">
        <v>77</v>
      </c>
      <c r="F5" s="14" t="s">
        <v>78</v>
      </c>
      <c r="G5" s="14" t="s">
        <v>79</v>
      </c>
      <c r="H5" s="14" t="s">
        <v>80</v>
      </c>
      <c r="I5" s="14" t="s">
        <v>81</v>
      </c>
      <c r="J5" s="14" t="s">
        <v>82</v>
      </c>
      <c r="K5" s="14" t="s">
        <v>83</v>
      </c>
      <c r="L5" s="14" t="s">
        <v>84</v>
      </c>
      <c r="M5" s="14" t="s">
        <v>85</v>
      </c>
      <c r="N5" s="14" t="s">
        <v>86</v>
      </c>
      <c r="O5" s="14" t="s">
        <v>87</v>
      </c>
      <c r="P5" s="14" t="s">
        <v>88</v>
      </c>
      <c r="Q5" s="14" t="s">
        <v>89</v>
      </c>
      <c r="R5" s="14" t="s">
        <v>90</v>
      </c>
      <c r="S5" s="14" t="s">
        <v>91</v>
      </c>
      <c r="T5" s="14" t="s">
        <v>92</v>
      </c>
      <c r="U5" s="14" t="s">
        <v>93</v>
      </c>
      <c r="V5" s="14" t="s">
        <v>94</v>
      </c>
      <c r="W5" s="14" t="s">
        <v>95</v>
      </c>
      <c r="X5" s="14" t="s">
        <v>96</v>
      </c>
      <c r="Y5" s="14" t="s">
        <v>97</v>
      </c>
      <c r="Z5" s="14" t="s">
        <v>98</v>
      </c>
      <c r="AA5" s="14" t="s">
        <v>99</v>
      </c>
      <c r="AB5" s="14" t="s">
        <v>100</v>
      </c>
      <c r="AC5" s="14" t="s">
        <v>101</v>
      </c>
      <c r="AD5" s="14" t="s">
        <v>102</v>
      </c>
      <c r="AE5" s="14" t="s">
        <v>103</v>
      </c>
      <c r="AF5" s="14" t="s">
        <v>104</v>
      </c>
      <c r="AG5" s="14" t="s">
        <v>105</v>
      </c>
      <c r="AH5" s="14" t="s">
        <v>106</v>
      </c>
    </row>
    <row r="6" spans="1:34" x14ac:dyDescent="0.45">
      <c r="A6" s="8" t="s">
        <v>107</v>
      </c>
      <c r="B6" s="8" t="s">
        <v>108</v>
      </c>
      <c r="C6" s="12" t="s">
        <v>109</v>
      </c>
      <c r="D6" s="17"/>
      <c r="E6" s="17"/>
      <c r="F6" s="18"/>
      <c r="G6" s="18"/>
      <c r="H6" s="17"/>
      <c r="I6" s="17"/>
      <c r="J6" s="17"/>
      <c r="K6" s="17"/>
      <c r="L6" s="17"/>
      <c r="M6" s="18"/>
      <c r="N6" s="18"/>
      <c r="O6" s="17"/>
      <c r="P6" s="17"/>
      <c r="Q6" s="17"/>
      <c r="R6" s="17"/>
      <c r="S6" s="17"/>
      <c r="T6" s="18"/>
      <c r="U6" s="18"/>
      <c r="V6" s="17"/>
      <c r="W6" s="17"/>
      <c r="X6" s="17"/>
      <c r="Y6" s="17"/>
      <c r="Z6" s="17"/>
      <c r="AA6" s="18"/>
      <c r="AB6" s="18"/>
      <c r="AC6" s="17"/>
      <c r="AD6" s="17"/>
      <c r="AE6" s="17"/>
      <c r="AF6" s="17"/>
      <c r="AG6" s="17"/>
      <c r="AH6" s="18"/>
    </row>
    <row r="7" spans="1:34" x14ac:dyDescent="0.45">
      <c r="A7" s="8" t="s">
        <v>107</v>
      </c>
      <c r="B7" s="8" t="s">
        <v>110</v>
      </c>
      <c r="C7" s="12" t="s">
        <v>109</v>
      </c>
      <c r="D7" s="17"/>
      <c r="E7" s="17"/>
      <c r="F7" s="18"/>
      <c r="G7" s="18"/>
      <c r="H7" s="17"/>
      <c r="I7" s="17"/>
      <c r="J7" s="17"/>
      <c r="K7" s="17"/>
      <c r="L7" s="17"/>
      <c r="M7" s="18"/>
      <c r="N7" s="18"/>
      <c r="O7" s="17"/>
      <c r="P7" s="17"/>
      <c r="Q7" s="17"/>
      <c r="R7" s="17"/>
      <c r="S7" s="17"/>
      <c r="T7" s="18"/>
      <c r="U7" s="18"/>
      <c r="V7" s="17"/>
      <c r="W7" s="17"/>
      <c r="X7" s="17"/>
      <c r="Y7" s="17"/>
      <c r="Z7" s="17"/>
      <c r="AA7" s="18"/>
      <c r="AB7" s="18"/>
      <c r="AC7" s="17"/>
      <c r="AD7" s="17"/>
      <c r="AE7" s="17"/>
      <c r="AF7" s="17"/>
      <c r="AG7" s="17"/>
      <c r="AH7" s="18"/>
    </row>
    <row r="8" spans="1:34" x14ac:dyDescent="0.45">
      <c r="A8" s="8" t="s">
        <v>107</v>
      </c>
      <c r="B8" s="8" t="s">
        <v>111</v>
      </c>
      <c r="C8" s="12" t="s">
        <v>109</v>
      </c>
      <c r="D8" s="17"/>
      <c r="E8" s="17"/>
      <c r="F8" s="18"/>
      <c r="G8" s="18"/>
      <c r="H8" s="17"/>
      <c r="I8" s="17"/>
      <c r="J8" s="17"/>
      <c r="K8" s="17"/>
      <c r="L8" s="17"/>
      <c r="M8" s="18"/>
      <c r="N8" s="18"/>
      <c r="O8" s="17"/>
      <c r="P8" s="17"/>
      <c r="Q8" s="17"/>
      <c r="R8" s="17"/>
      <c r="S8" s="17"/>
      <c r="T8" s="18"/>
      <c r="U8" s="18"/>
      <c r="V8" s="17"/>
      <c r="W8" s="17"/>
      <c r="X8" s="17"/>
      <c r="Y8" s="17"/>
      <c r="Z8" s="17"/>
      <c r="AA8" s="18"/>
      <c r="AB8" s="18"/>
      <c r="AC8" s="17"/>
      <c r="AD8" s="17"/>
      <c r="AE8" s="17"/>
      <c r="AF8" s="17"/>
      <c r="AG8" s="17"/>
      <c r="AH8" s="18"/>
    </row>
    <row r="9" spans="1:34" x14ac:dyDescent="0.45">
      <c r="A9" s="8" t="s">
        <v>107</v>
      </c>
      <c r="B9" s="8" t="s">
        <v>112</v>
      </c>
      <c r="C9" s="12" t="s">
        <v>109</v>
      </c>
      <c r="D9" s="17"/>
      <c r="E9" s="17"/>
      <c r="F9" s="18"/>
      <c r="G9" s="18"/>
      <c r="H9" s="17"/>
      <c r="I9" s="17"/>
      <c r="J9" s="17"/>
      <c r="K9" s="17"/>
      <c r="L9" s="17"/>
      <c r="M9" s="18"/>
      <c r="N9" s="18"/>
      <c r="O9" s="17"/>
      <c r="P9" s="17"/>
      <c r="Q9" s="17"/>
      <c r="R9" s="17"/>
      <c r="S9" s="17"/>
      <c r="T9" s="18"/>
      <c r="U9" s="18"/>
      <c r="V9" s="17"/>
      <c r="W9" s="17"/>
      <c r="X9" s="17"/>
      <c r="Y9" s="17"/>
      <c r="Z9" s="17"/>
      <c r="AA9" s="18"/>
      <c r="AB9" s="18"/>
      <c r="AC9" s="17"/>
      <c r="AD9" s="17"/>
      <c r="AE9" s="17"/>
      <c r="AF9" s="17"/>
      <c r="AG9" s="17"/>
      <c r="AH9" s="18"/>
    </row>
    <row r="10" spans="1:34" x14ac:dyDescent="0.45">
      <c r="A10" s="8" t="s">
        <v>107</v>
      </c>
      <c r="B10" s="8" t="s">
        <v>113</v>
      </c>
      <c r="C10" s="12" t="s">
        <v>109</v>
      </c>
      <c r="D10" s="17"/>
      <c r="E10" s="17"/>
      <c r="F10" s="18"/>
      <c r="G10" s="18"/>
      <c r="H10" s="17"/>
      <c r="I10" s="17"/>
      <c r="J10" s="17"/>
      <c r="K10" s="17"/>
      <c r="L10" s="17"/>
      <c r="M10" s="18"/>
      <c r="N10" s="18"/>
      <c r="O10" s="17"/>
      <c r="P10" s="17"/>
      <c r="Q10" s="17"/>
      <c r="R10" s="17"/>
      <c r="S10" s="17"/>
      <c r="T10" s="18"/>
      <c r="U10" s="18"/>
      <c r="V10" s="17"/>
      <c r="W10" s="17"/>
      <c r="X10" s="17"/>
      <c r="Y10" s="17"/>
      <c r="Z10" s="17"/>
      <c r="AA10" s="18"/>
      <c r="AB10" s="18"/>
      <c r="AC10" s="17"/>
      <c r="AD10" s="17"/>
      <c r="AE10" s="17"/>
      <c r="AF10" s="17"/>
      <c r="AG10" s="17"/>
      <c r="AH10" s="18"/>
    </row>
    <row r="11" spans="1:34" x14ac:dyDescent="0.45">
      <c r="A11" s="8" t="s">
        <v>107</v>
      </c>
      <c r="B11" s="8" t="s">
        <v>114</v>
      </c>
      <c r="C11" s="12" t="s">
        <v>109</v>
      </c>
      <c r="D11" s="17"/>
      <c r="E11" s="17"/>
      <c r="F11" s="18"/>
      <c r="G11" s="18"/>
      <c r="H11" s="17"/>
      <c r="I11" s="17"/>
      <c r="J11" s="17"/>
      <c r="K11" s="17"/>
      <c r="L11" s="17"/>
      <c r="M11" s="18"/>
      <c r="N11" s="18"/>
      <c r="O11" s="17"/>
      <c r="P11" s="17"/>
      <c r="Q11" s="17"/>
      <c r="R11" s="17"/>
      <c r="S11" s="17"/>
      <c r="T11" s="18"/>
      <c r="U11" s="18"/>
      <c r="V11" s="17"/>
      <c r="W11" s="17"/>
      <c r="X11" s="17"/>
      <c r="Y11" s="17"/>
      <c r="Z11" s="17"/>
      <c r="AA11" s="18"/>
      <c r="AB11" s="18"/>
      <c r="AC11" s="17"/>
      <c r="AD11" s="17"/>
      <c r="AE11" s="17"/>
      <c r="AF11" s="17"/>
      <c r="AG11" s="17"/>
      <c r="AH11" s="18"/>
    </row>
    <row r="12" spans="1:34" x14ac:dyDescent="0.45">
      <c r="A12" s="8" t="s">
        <v>107</v>
      </c>
      <c r="B12" s="8" t="s">
        <v>115</v>
      </c>
      <c r="C12" s="12" t="s">
        <v>109</v>
      </c>
      <c r="D12" s="17"/>
      <c r="E12" s="17"/>
      <c r="F12" s="18"/>
      <c r="G12" s="18"/>
      <c r="H12" s="17"/>
      <c r="I12" s="17"/>
      <c r="J12" s="17"/>
      <c r="K12" s="17"/>
      <c r="L12" s="17"/>
      <c r="M12" s="18"/>
      <c r="N12" s="18"/>
      <c r="O12" s="17"/>
      <c r="P12" s="17"/>
      <c r="Q12" s="17"/>
      <c r="R12" s="17"/>
      <c r="S12" s="17"/>
      <c r="T12" s="18"/>
      <c r="U12" s="18"/>
      <c r="V12" s="17"/>
      <c r="W12" s="17"/>
      <c r="X12" s="17"/>
      <c r="Y12" s="17"/>
      <c r="Z12" s="17"/>
      <c r="AA12" s="18"/>
      <c r="AB12" s="18"/>
      <c r="AC12" s="17"/>
      <c r="AD12" s="17"/>
      <c r="AE12" s="17"/>
      <c r="AF12" s="17"/>
      <c r="AG12" s="17"/>
      <c r="AH12" s="18"/>
    </row>
    <row r="13" spans="1:34" x14ac:dyDescent="0.45">
      <c r="A13" s="8" t="s">
        <v>107</v>
      </c>
      <c r="B13" s="8" t="s">
        <v>116</v>
      </c>
      <c r="C13" s="12" t="s">
        <v>109</v>
      </c>
      <c r="D13" s="17"/>
      <c r="E13" s="17"/>
      <c r="F13" s="18"/>
      <c r="G13" s="18"/>
      <c r="H13" s="17"/>
      <c r="I13" s="17"/>
      <c r="J13" s="17"/>
      <c r="K13" s="17"/>
      <c r="L13" s="17"/>
      <c r="M13" s="18"/>
      <c r="N13" s="18"/>
      <c r="O13" s="17"/>
      <c r="P13" s="17"/>
      <c r="Q13" s="17"/>
      <c r="R13" s="17"/>
      <c r="S13" s="17"/>
      <c r="T13" s="18"/>
      <c r="U13" s="18"/>
      <c r="V13" s="17"/>
      <c r="W13" s="17"/>
      <c r="X13" s="17"/>
      <c r="Y13" s="17"/>
      <c r="Z13" s="17"/>
      <c r="AA13" s="18"/>
      <c r="AB13" s="18"/>
      <c r="AC13" s="17"/>
      <c r="AD13" s="17"/>
      <c r="AE13" s="17"/>
      <c r="AF13" s="17"/>
      <c r="AG13" s="17"/>
      <c r="AH13" s="18"/>
    </row>
    <row r="14" spans="1:34" x14ac:dyDescent="0.45">
      <c r="A14" s="8" t="s">
        <v>107</v>
      </c>
      <c r="B14" s="8" t="s">
        <v>117</v>
      </c>
      <c r="C14" s="12" t="s">
        <v>109</v>
      </c>
      <c r="D14" s="17"/>
      <c r="E14" s="17"/>
      <c r="F14" s="18"/>
      <c r="G14" s="18"/>
      <c r="H14" s="17"/>
      <c r="I14" s="17"/>
      <c r="J14" s="17"/>
      <c r="K14" s="17"/>
      <c r="L14" s="17"/>
      <c r="M14" s="18"/>
      <c r="N14" s="18"/>
      <c r="O14" s="17"/>
      <c r="P14" s="17"/>
      <c r="Q14" s="17"/>
      <c r="R14" s="17"/>
      <c r="S14" s="17"/>
      <c r="T14" s="18"/>
      <c r="U14" s="18"/>
      <c r="V14" s="17"/>
      <c r="W14" s="17"/>
      <c r="X14" s="17"/>
      <c r="Y14" s="17"/>
      <c r="Z14" s="17"/>
      <c r="AA14" s="18"/>
      <c r="AB14" s="18"/>
      <c r="AC14" s="17"/>
      <c r="AD14" s="17"/>
      <c r="AE14" s="17"/>
      <c r="AF14" s="17"/>
      <c r="AG14" s="17"/>
      <c r="AH14" s="18"/>
    </row>
    <row r="15" spans="1:34" x14ac:dyDescent="0.45">
      <c r="A15" s="8" t="s">
        <v>107</v>
      </c>
      <c r="B15" s="8" t="s">
        <v>118</v>
      </c>
      <c r="C15" s="12" t="s">
        <v>109</v>
      </c>
      <c r="D15" s="17"/>
      <c r="E15" s="17"/>
      <c r="F15" s="18"/>
      <c r="G15" s="18"/>
      <c r="H15" s="17"/>
      <c r="I15" s="17"/>
      <c r="J15" s="17"/>
      <c r="K15" s="17"/>
      <c r="L15" s="17"/>
      <c r="M15" s="18"/>
      <c r="N15" s="18"/>
      <c r="O15" s="17"/>
      <c r="P15" s="17"/>
      <c r="Q15" s="17"/>
      <c r="R15" s="17"/>
      <c r="S15" s="17"/>
      <c r="T15" s="18"/>
      <c r="U15" s="18"/>
      <c r="V15" s="17"/>
      <c r="W15" s="17"/>
      <c r="X15" s="17"/>
      <c r="Y15" s="17"/>
      <c r="Z15" s="17"/>
      <c r="AA15" s="18"/>
      <c r="AB15" s="18"/>
      <c r="AC15" s="17"/>
      <c r="AD15" s="17"/>
      <c r="AE15" s="17"/>
      <c r="AF15" s="17"/>
      <c r="AG15" s="17"/>
      <c r="AH15" s="18"/>
    </row>
    <row r="16" spans="1:34" x14ac:dyDescent="0.45">
      <c r="A16" s="8" t="s">
        <v>107</v>
      </c>
      <c r="B16" s="8" t="s">
        <v>119</v>
      </c>
      <c r="C16" s="12" t="s">
        <v>109</v>
      </c>
      <c r="D16" s="17"/>
      <c r="E16" s="17"/>
      <c r="F16" s="18"/>
      <c r="G16" s="18"/>
      <c r="H16" s="17"/>
      <c r="I16" s="17"/>
      <c r="J16" s="17"/>
      <c r="K16" s="17"/>
      <c r="L16" s="17"/>
      <c r="M16" s="18"/>
      <c r="N16" s="18"/>
      <c r="O16" s="17"/>
      <c r="P16" s="17"/>
      <c r="Q16" s="17"/>
      <c r="R16" s="17"/>
      <c r="S16" s="17"/>
      <c r="T16" s="18"/>
      <c r="U16" s="18"/>
      <c r="V16" s="17"/>
      <c r="W16" s="17"/>
      <c r="X16" s="17"/>
      <c r="Y16" s="17"/>
      <c r="Z16" s="17"/>
      <c r="AA16" s="18"/>
      <c r="AB16" s="18"/>
      <c r="AC16" s="17"/>
      <c r="AD16" s="17"/>
      <c r="AE16" s="17"/>
      <c r="AF16" s="17"/>
      <c r="AG16" s="17"/>
      <c r="AH16" s="18"/>
    </row>
    <row r="17" spans="1:34" x14ac:dyDescent="0.45">
      <c r="A17" s="8" t="s">
        <v>107</v>
      </c>
      <c r="B17" s="8" t="s">
        <v>120</v>
      </c>
      <c r="C17" s="12" t="s">
        <v>109</v>
      </c>
      <c r="D17" s="17"/>
      <c r="E17" s="17"/>
      <c r="F17" s="18"/>
      <c r="G17" s="18"/>
      <c r="H17" s="17"/>
      <c r="I17" s="17"/>
      <c r="J17" s="17"/>
      <c r="K17" s="17"/>
      <c r="L17" s="17"/>
      <c r="M17" s="18"/>
      <c r="N17" s="18"/>
      <c r="O17" s="17"/>
      <c r="P17" s="17"/>
      <c r="Q17" s="17"/>
      <c r="R17" s="17"/>
      <c r="S17" s="17"/>
      <c r="T17" s="18"/>
      <c r="U17" s="18"/>
      <c r="V17" s="17"/>
      <c r="W17" s="17"/>
      <c r="X17" s="17"/>
      <c r="Y17" s="17"/>
      <c r="Z17" s="17"/>
      <c r="AA17" s="18"/>
      <c r="AB17" s="18"/>
      <c r="AC17" s="17"/>
      <c r="AD17" s="17"/>
      <c r="AE17" s="17"/>
      <c r="AF17" s="17"/>
      <c r="AG17" s="17"/>
      <c r="AH17" s="18"/>
    </row>
    <row r="18" spans="1:34" x14ac:dyDescent="0.45">
      <c r="A18" s="8" t="s">
        <v>107</v>
      </c>
      <c r="B18" s="8" t="s">
        <v>121</v>
      </c>
      <c r="C18" s="12" t="s">
        <v>122</v>
      </c>
      <c r="D18" s="17"/>
      <c r="E18" s="17"/>
      <c r="F18" s="18"/>
      <c r="G18" s="18"/>
      <c r="H18" s="17"/>
      <c r="I18" s="17"/>
      <c r="J18" s="17"/>
      <c r="K18" s="17"/>
      <c r="L18" s="17"/>
      <c r="M18" s="18"/>
      <c r="N18" s="18"/>
      <c r="O18" s="17"/>
      <c r="P18" s="17"/>
      <c r="Q18" s="17"/>
      <c r="R18" s="17"/>
      <c r="S18" s="17"/>
      <c r="T18" s="18"/>
      <c r="U18" s="18"/>
      <c r="V18" s="17"/>
      <c r="W18" s="17"/>
      <c r="X18" s="17"/>
      <c r="Y18" s="17"/>
      <c r="Z18" s="17"/>
      <c r="AA18" s="18"/>
      <c r="AB18" s="18"/>
      <c r="AC18" s="17"/>
      <c r="AD18" s="17"/>
      <c r="AE18" s="17"/>
      <c r="AF18" s="17"/>
      <c r="AG18" s="17"/>
      <c r="AH18" s="18"/>
    </row>
    <row r="19" spans="1:34" x14ac:dyDescent="0.45">
      <c r="A19" s="8" t="s">
        <v>123</v>
      </c>
      <c r="B19" s="8" t="s">
        <v>124</v>
      </c>
      <c r="C19" s="12" t="s">
        <v>109</v>
      </c>
      <c r="D19" s="17"/>
      <c r="E19" s="17"/>
      <c r="F19" s="18"/>
      <c r="G19" s="18"/>
      <c r="H19" s="17"/>
      <c r="I19" s="17"/>
      <c r="J19" s="17"/>
      <c r="K19" s="17"/>
      <c r="L19" s="17"/>
      <c r="M19" s="18"/>
      <c r="N19" s="18"/>
      <c r="O19" s="17"/>
      <c r="P19" s="17"/>
      <c r="Q19" s="17"/>
      <c r="R19" s="17"/>
      <c r="S19" s="17"/>
      <c r="T19" s="18"/>
      <c r="U19" s="18"/>
      <c r="V19" s="17"/>
      <c r="W19" s="17"/>
      <c r="X19" s="17"/>
      <c r="Y19" s="17"/>
      <c r="Z19" s="17"/>
      <c r="AA19" s="18"/>
      <c r="AB19" s="18"/>
      <c r="AC19" s="17"/>
      <c r="AD19" s="17"/>
      <c r="AE19" s="17"/>
      <c r="AF19" s="17"/>
      <c r="AG19" s="17"/>
      <c r="AH19" s="18"/>
    </row>
    <row r="20" spans="1:34" x14ac:dyDescent="0.45">
      <c r="A20" s="8" t="s">
        <v>123</v>
      </c>
      <c r="B20" s="8" t="s">
        <v>125</v>
      </c>
      <c r="C20" s="12" t="s">
        <v>109</v>
      </c>
      <c r="D20" s="17"/>
      <c r="E20" s="17"/>
      <c r="F20" s="18"/>
      <c r="G20" s="18"/>
      <c r="H20" s="17"/>
      <c r="I20" s="17"/>
      <c r="J20" s="17"/>
      <c r="K20" s="17"/>
      <c r="L20" s="17"/>
      <c r="M20" s="18"/>
      <c r="N20" s="18"/>
      <c r="O20" s="17"/>
      <c r="P20" s="17"/>
      <c r="Q20" s="17"/>
      <c r="R20" s="17"/>
      <c r="S20" s="17"/>
      <c r="T20" s="18"/>
      <c r="U20" s="18"/>
      <c r="V20" s="17"/>
      <c r="W20" s="17"/>
      <c r="X20" s="17"/>
      <c r="Y20" s="17"/>
      <c r="Z20" s="17"/>
      <c r="AA20" s="18"/>
      <c r="AB20" s="18"/>
      <c r="AC20" s="17"/>
      <c r="AD20" s="17"/>
      <c r="AE20" s="17"/>
      <c r="AF20" s="17"/>
      <c r="AG20" s="17"/>
      <c r="AH20" s="18"/>
    </row>
    <row r="21" spans="1:34" x14ac:dyDescent="0.45">
      <c r="A21" s="8" t="s">
        <v>123</v>
      </c>
      <c r="B21" s="8" t="s">
        <v>126</v>
      </c>
      <c r="C21" s="12" t="s">
        <v>109</v>
      </c>
      <c r="D21" s="17"/>
      <c r="E21" s="17"/>
      <c r="F21" s="18"/>
      <c r="G21" s="18"/>
      <c r="H21" s="17"/>
      <c r="I21" s="17"/>
      <c r="J21" s="17"/>
      <c r="K21" s="17"/>
      <c r="L21" s="17"/>
      <c r="M21" s="18"/>
      <c r="N21" s="18"/>
      <c r="O21" s="17"/>
      <c r="P21" s="17"/>
      <c r="Q21" s="17"/>
      <c r="R21" s="17"/>
      <c r="S21" s="17"/>
      <c r="T21" s="18"/>
      <c r="U21" s="18"/>
      <c r="V21" s="17"/>
      <c r="W21" s="17"/>
      <c r="X21" s="17"/>
      <c r="Y21" s="17"/>
      <c r="Z21" s="17"/>
      <c r="AA21" s="18"/>
      <c r="AB21" s="18"/>
      <c r="AC21" s="17"/>
      <c r="AD21" s="17"/>
      <c r="AE21" s="17"/>
      <c r="AF21" s="17"/>
      <c r="AG21" s="17"/>
      <c r="AH21" s="18"/>
    </row>
    <row r="22" spans="1:34" x14ac:dyDescent="0.45">
      <c r="A22" s="8" t="s">
        <v>127</v>
      </c>
      <c r="B22" s="8" t="s">
        <v>128</v>
      </c>
      <c r="C22" s="12" t="s">
        <v>109</v>
      </c>
      <c r="D22" s="17"/>
      <c r="E22" s="17"/>
      <c r="F22" s="18"/>
      <c r="G22" s="18"/>
      <c r="H22" s="17"/>
      <c r="I22" s="17"/>
      <c r="J22" s="17"/>
      <c r="K22" s="17"/>
      <c r="L22" s="17"/>
      <c r="M22" s="18"/>
      <c r="N22" s="18"/>
      <c r="O22" s="17"/>
      <c r="P22" s="17"/>
      <c r="Q22" s="17"/>
      <c r="R22" s="17"/>
      <c r="S22" s="17"/>
      <c r="T22" s="18"/>
      <c r="U22" s="18"/>
      <c r="V22" s="17"/>
      <c r="W22" s="17"/>
      <c r="X22" s="17"/>
      <c r="Y22" s="17"/>
      <c r="Z22" s="17"/>
      <c r="AA22" s="18"/>
      <c r="AB22" s="18"/>
      <c r="AC22" s="17"/>
      <c r="AD22" s="17"/>
      <c r="AE22" s="17"/>
      <c r="AF22" s="17"/>
      <c r="AG22" s="17"/>
      <c r="AH22" s="18"/>
    </row>
    <row r="23" spans="1:34" x14ac:dyDescent="0.45">
      <c r="A23" s="8" t="s">
        <v>127</v>
      </c>
      <c r="B23" s="8" t="s">
        <v>129</v>
      </c>
      <c r="C23" s="12" t="s">
        <v>109</v>
      </c>
      <c r="D23" s="17"/>
      <c r="E23" s="17"/>
      <c r="F23" s="18"/>
      <c r="G23" s="18"/>
      <c r="H23" s="17"/>
      <c r="I23" s="17"/>
      <c r="J23" s="17"/>
      <c r="K23" s="17"/>
      <c r="L23" s="17"/>
      <c r="M23" s="18"/>
      <c r="N23" s="18"/>
      <c r="O23" s="17"/>
      <c r="P23" s="17"/>
      <c r="Q23" s="17"/>
      <c r="R23" s="17"/>
      <c r="S23" s="17"/>
      <c r="T23" s="18"/>
      <c r="U23" s="18"/>
      <c r="V23" s="17"/>
      <c r="W23" s="17"/>
      <c r="X23" s="17"/>
      <c r="Y23" s="17"/>
      <c r="Z23" s="17"/>
      <c r="AA23" s="18"/>
      <c r="AB23" s="18"/>
      <c r="AC23" s="17"/>
      <c r="AD23" s="17"/>
      <c r="AE23" s="17"/>
      <c r="AF23" s="17"/>
      <c r="AG23" s="17"/>
      <c r="AH23" s="18"/>
    </row>
    <row r="24" spans="1:34" x14ac:dyDescent="0.45">
      <c r="A24" s="8" t="s">
        <v>127</v>
      </c>
      <c r="B24" s="8" t="s">
        <v>130</v>
      </c>
      <c r="C24" s="12" t="s">
        <v>109</v>
      </c>
      <c r="D24" s="17"/>
      <c r="E24" s="17"/>
      <c r="F24" s="18"/>
      <c r="G24" s="18"/>
      <c r="H24" s="17"/>
      <c r="I24" s="17"/>
      <c r="J24" s="17"/>
      <c r="K24" s="17"/>
      <c r="L24" s="17"/>
      <c r="M24" s="18"/>
      <c r="N24" s="18"/>
      <c r="O24" s="17"/>
      <c r="P24" s="17"/>
      <c r="Q24" s="17"/>
      <c r="R24" s="17"/>
      <c r="S24" s="17"/>
      <c r="T24" s="18"/>
      <c r="U24" s="18"/>
      <c r="V24" s="17"/>
      <c r="W24" s="17"/>
      <c r="X24" s="17"/>
      <c r="Y24" s="17"/>
      <c r="Z24" s="17"/>
      <c r="AA24" s="18"/>
      <c r="AB24" s="18"/>
      <c r="AC24" s="17"/>
      <c r="AD24" s="17"/>
      <c r="AE24" s="17"/>
      <c r="AF24" s="17"/>
      <c r="AG24" s="17"/>
      <c r="AH24" s="18"/>
    </row>
    <row r="25" spans="1:34" x14ac:dyDescent="0.45">
      <c r="A25" s="8" t="s">
        <v>127</v>
      </c>
      <c r="B25" s="8" t="s">
        <v>131</v>
      </c>
      <c r="C25" s="12" t="s">
        <v>109</v>
      </c>
      <c r="D25" s="17"/>
      <c r="E25" s="17"/>
      <c r="F25" s="18"/>
      <c r="G25" s="18"/>
      <c r="H25" s="17"/>
      <c r="I25" s="17"/>
      <c r="J25" s="17"/>
      <c r="K25" s="17"/>
      <c r="L25" s="17"/>
      <c r="M25" s="18"/>
      <c r="N25" s="18"/>
      <c r="O25" s="17"/>
      <c r="P25" s="17"/>
      <c r="Q25" s="17"/>
      <c r="R25" s="17"/>
      <c r="S25" s="17"/>
      <c r="T25" s="18"/>
      <c r="U25" s="18"/>
      <c r="V25" s="17"/>
      <c r="W25" s="17"/>
      <c r="X25" s="17"/>
      <c r="Y25" s="17"/>
      <c r="Z25" s="17"/>
      <c r="AA25" s="18"/>
      <c r="AB25" s="18"/>
      <c r="AC25" s="17"/>
      <c r="AD25" s="17"/>
      <c r="AE25" s="17"/>
      <c r="AF25" s="17"/>
      <c r="AG25" s="17"/>
      <c r="AH25" s="18"/>
    </row>
    <row r="26" spans="1:34" x14ac:dyDescent="0.45">
      <c r="A26" s="8" t="s">
        <v>132</v>
      </c>
      <c r="B26" s="8" t="s">
        <v>133</v>
      </c>
      <c r="C26" s="12" t="s">
        <v>109</v>
      </c>
      <c r="D26" s="17"/>
      <c r="E26" s="17"/>
      <c r="F26" s="18"/>
      <c r="G26" s="18"/>
      <c r="H26" s="17"/>
      <c r="I26" s="17"/>
      <c r="J26" s="17"/>
      <c r="K26" s="17"/>
      <c r="L26" s="17"/>
      <c r="M26" s="18"/>
      <c r="N26" s="18"/>
      <c r="O26" s="17"/>
      <c r="P26" s="17"/>
      <c r="Q26" s="17"/>
      <c r="R26" s="17"/>
      <c r="S26" s="17"/>
      <c r="T26" s="18"/>
      <c r="U26" s="18"/>
      <c r="V26" s="17"/>
      <c r="W26" s="17"/>
      <c r="X26" s="17"/>
      <c r="Y26" s="17"/>
      <c r="Z26" s="17"/>
      <c r="AA26" s="18"/>
      <c r="AB26" s="18"/>
      <c r="AC26" s="17"/>
      <c r="AD26" s="17"/>
      <c r="AE26" s="17"/>
      <c r="AF26" s="17"/>
      <c r="AG26" s="17"/>
      <c r="AH26" s="18"/>
    </row>
    <row r="27" spans="1:34" x14ac:dyDescent="0.45">
      <c r="A27" s="8" t="s">
        <v>132</v>
      </c>
      <c r="B27" s="8" t="s">
        <v>134</v>
      </c>
      <c r="C27" s="12" t="s">
        <v>109</v>
      </c>
      <c r="D27" s="17"/>
      <c r="E27" s="17"/>
      <c r="F27" s="18"/>
      <c r="G27" s="18"/>
      <c r="H27" s="17"/>
      <c r="I27" s="17"/>
      <c r="J27" s="17"/>
      <c r="K27" s="17"/>
      <c r="L27" s="17"/>
      <c r="M27" s="18"/>
      <c r="N27" s="18"/>
      <c r="O27" s="17"/>
      <c r="P27" s="17"/>
      <c r="Q27" s="17"/>
      <c r="R27" s="17"/>
      <c r="S27" s="17"/>
      <c r="T27" s="18"/>
      <c r="U27" s="18"/>
      <c r="V27" s="17"/>
      <c r="W27" s="17"/>
      <c r="X27" s="17"/>
      <c r="Y27" s="17"/>
      <c r="Z27" s="17"/>
      <c r="AA27" s="18"/>
      <c r="AB27" s="18"/>
      <c r="AC27" s="17"/>
      <c r="AD27" s="17"/>
      <c r="AE27" s="17"/>
      <c r="AF27" s="17"/>
      <c r="AG27" s="17"/>
      <c r="AH27" s="18"/>
    </row>
    <row r="28" spans="1:34" x14ac:dyDescent="0.45">
      <c r="A28" s="8" t="s">
        <v>132</v>
      </c>
      <c r="B28" s="8" t="s">
        <v>135</v>
      </c>
      <c r="C28" s="12" t="s">
        <v>122</v>
      </c>
      <c r="D28" s="17"/>
      <c r="E28" s="17"/>
      <c r="F28" s="18"/>
      <c r="G28" s="18"/>
      <c r="H28" s="17"/>
      <c r="I28" s="17"/>
      <c r="J28" s="17"/>
      <c r="K28" s="17"/>
      <c r="L28" s="17"/>
      <c r="M28" s="18"/>
      <c r="N28" s="18"/>
      <c r="O28" s="17"/>
      <c r="P28" s="17"/>
      <c r="Q28" s="17"/>
      <c r="R28" s="17"/>
      <c r="S28" s="17"/>
      <c r="T28" s="18"/>
      <c r="U28" s="18"/>
      <c r="V28" s="17"/>
      <c r="W28" s="17"/>
      <c r="X28" s="17"/>
      <c r="Y28" s="17"/>
      <c r="Z28" s="17"/>
      <c r="AA28" s="18"/>
      <c r="AB28" s="18"/>
      <c r="AC28" s="17"/>
      <c r="AD28" s="17"/>
      <c r="AE28" s="17"/>
      <c r="AF28" s="17"/>
      <c r="AG28" s="17"/>
      <c r="AH28" s="18"/>
    </row>
    <row r="29" spans="1:34" x14ac:dyDescent="0.45">
      <c r="A29" s="8" t="s">
        <v>136</v>
      </c>
      <c r="B29" s="8" t="s">
        <v>137</v>
      </c>
      <c r="C29" s="12" t="s">
        <v>109</v>
      </c>
      <c r="D29" s="17"/>
      <c r="E29" s="17"/>
      <c r="F29" s="18"/>
      <c r="G29" s="18"/>
      <c r="H29" s="17"/>
      <c r="I29" s="17"/>
      <c r="J29" s="17"/>
      <c r="K29" s="17"/>
      <c r="L29" s="17"/>
      <c r="M29" s="18"/>
      <c r="N29" s="18"/>
      <c r="O29" s="17"/>
      <c r="P29" s="17"/>
      <c r="Q29" s="17"/>
      <c r="R29" s="17"/>
      <c r="S29" s="17"/>
      <c r="T29" s="18"/>
      <c r="U29" s="18"/>
      <c r="V29" s="17"/>
      <c r="W29" s="17"/>
      <c r="X29" s="17"/>
      <c r="Y29" s="17"/>
      <c r="Z29" s="17"/>
      <c r="AA29" s="18"/>
      <c r="AB29" s="18"/>
      <c r="AC29" s="17"/>
      <c r="AD29" s="17"/>
      <c r="AE29" s="17"/>
      <c r="AF29" s="17"/>
      <c r="AG29" s="17"/>
      <c r="AH29" s="18"/>
    </row>
    <row r="30" spans="1:34" x14ac:dyDescent="0.45">
      <c r="A30" s="8" t="s">
        <v>136</v>
      </c>
      <c r="B30" s="8" t="s">
        <v>138</v>
      </c>
      <c r="C30" s="12" t="s">
        <v>109</v>
      </c>
      <c r="D30" s="17"/>
      <c r="E30" s="17"/>
      <c r="F30" s="18"/>
      <c r="G30" s="18"/>
      <c r="H30" s="17"/>
      <c r="I30" s="17"/>
      <c r="J30" s="17"/>
      <c r="K30" s="17"/>
      <c r="L30" s="17"/>
      <c r="M30" s="18"/>
      <c r="N30" s="18"/>
      <c r="O30" s="17"/>
      <c r="P30" s="17"/>
      <c r="Q30" s="17"/>
      <c r="R30" s="17"/>
      <c r="S30" s="17"/>
      <c r="T30" s="18"/>
      <c r="U30" s="18"/>
      <c r="V30" s="17"/>
      <c r="W30" s="17"/>
      <c r="X30" s="17"/>
      <c r="Y30" s="17"/>
      <c r="Z30" s="17"/>
      <c r="AA30" s="18"/>
      <c r="AB30" s="18"/>
      <c r="AC30" s="17"/>
      <c r="AD30" s="17"/>
      <c r="AE30" s="17"/>
      <c r="AF30" s="17"/>
      <c r="AG30" s="17"/>
      <c r="AH30" s="18"/>
    </row>
    <row r="31" spans="1:34" x14ac:dyDescent="0.45">
      <c r="A31" s="8" t="s">
        <v>139</v>
      </c>
      <c r="B31" s="8" t="s">
        <v>140</v>
      </c>
      <c r="C31" s="12" t="s">
        <v>109</v>
      </c>
      <c r="D31" s="17"/>
      <c r="E31" s="17"/>
      <c r="F31" s="18"/>
      <c r="G31" s="18"/>
      <c r="H31" s="17"/>
      <c r="I31" s="17"/>
      <c r="J31" s="17"/>
      <c r="K31" s="17"/>
      <c r="L31" s="17"/>
      <c r="M31" s="18"/>
      <c r="N31" s="18"/>
      <c r="O31" s="17"/>
      <c r="P31" s="17"/>
      <c r="Q31" s="17"/>
      <c r="R31" s="17"/>
      <c r="S31" s="17"/>
      <c r="T31" s="18"/>
      <c r="U31" s="18"/>
      <c r="V31" s="17"/>
      <c r="W31" s="17"/>
      <c r="X31" s="17"/>
      <c r="Y31" s="17"/>
      <c r="Z31" s="17"/>
      <c r="AA31" s="18"/>
      <c r="AB31" s="18"/>
      <c r="AC31" s="17"/>
      <c r="AD31" s="17"/>
      <c r="AE31" s="17"/>
      <c r="AF31" s="17"/>
      <c r="AG31" s="17"/>
      <c r="AH31" s="18"/>
    </row>
    <row r="32" spans="1:34" x14ac:dyDescent="0.45">
      <c r="A32" s="8" t="s">
        <v>139</v>
      </c>
      <c r="B32" s="8" t="s">
        <v>141</v>
      </c>
      <c r="C32" s="12" t="s">
        <v>109</v>
      </c>
      <c r="D32" s="17"/>
      <c r="E32" s="17"/>
      <c r="F32" s="18"/>
      <c r="G32" s="18"/>
      <c r="H32" s="17"/>
      <c r="I32" s="17"/>
      <c r="J32" s="17"/>
      <c r="K32" s="17"/>
      <c r="L32" s="17"/>
      <c r="M32" s="18"/>
      <c r="N32" s="18"/>
      <c r="O32" s="17"/>
      <c r="P32" s="17"/>
      <c r="Q32" s="17"/>
      <c r="R32" s="17"/>
      <c r="S32" s="17"/>
      <c r="T32" s="18"/>
      <c r="U32" s="18"/>
      <c r="V32" s="17"/>
      <c r="W32" s="17"/>
      <c r="X32" s="17"/>
      <c r="Y32" s="17"/>
      <c r="Z32" s="17"/>
      <c r="AA32" s="18"/>
      <c r="AB32" s="18"/>
      <c r="AC32" s="17"/>
      <c r="AD32" s="17"/>
      <c r="AE32" s="17"/>
      <c r="AF32" s="17"/>
      <c r="AG32" s="17"/>
      <c r="AH32" s="18"/>
    </row>
    <row r="33" spans="1:34" x14ac:dyDescent="0.45">
      <c r="A33" s="8" t="s">
        <v>139</v>
      </c>
      <c r="B33" s="8" t="s">
        <v>142</v>
      </c>
      <c r="C33" s="12" t="s">
        <v>109</v>
      </c>
      <c r="D33" s="17"/>
      <c r="E33" s="17"/>
      <c r="F33" s="18"/>
      <c r="G33" s="18"/>
      <c r="H33" s="17"/>
      <c r="I33" s="17"/>
      <c r="J33" s="17"/>
      <c r="K33" s="17"/>
      <c r="L33" s="17"/>
      <c r="M33" s="18"/>
      <c r="N33" s="18"/>
      <c r="O33" s="17"/>
      <c r="P33" s="17"/>
      <c r="Q33" s="17"/>
      <c r="R33" s="17"/>
      <c r="S33" s="17"/>
      <c r="T33" s="18"/>
      <c r="U33" s="18"/>
      <c r="V33" s="17"/>
      <c r="W33" s="17"/>
      <c r="X33" s="17"/>
      <c r="Y33" s="17"/>
      <c r="Z33" s="17"/>
      <c r="AA33" s="18"/>
      <c r="AB33" s="18"/>
      <c r="AC33" s="17"/>
      <c r="AD33" s="17"/>
      <c r="AE33" s="17"/>
      <c r="AF33" s="17"/>
      <c r="AG33" s="17"/>
      <c r="AH33" s="18"/>
    </row>
    <row r="34" spans="1:34" x14ac:dyDescent="0.45">
      <c r="A34" s="8" t="s">
        <v>139</v>
      </c>
      <c r="B34" s="8" t="s">
        <v>143</v>
      </c>
      <c r="C34" s="12" t="s">
        <v>109</v>
      </c>
      <c r="D34" s="17"/>
      <c r="E34" s="17"/>
      <c r="F34" s="18"/>
      <c r="G34" s="18"/>
      <c r="H34" s="17"/>
      <c r="I34" s="17"/>
      <c r="J34" s="17"/>
      <c r="K34" s="17"/>
      <c r="L34" s="17"/>
      <c r="M34" s="18"/>
      <c r="N34" s="18"/>
      <c r="O34" s="17"/>
      <c r="P34" s="17"/>
      <c r="Q34" s="17"/>
      <c r="R34" s="17"/>
      <c r="S34" s="17"/>
      <c r="T34" s="18"/>
      <c r="U34" s="18"/>
      <c r="V34" s="17"/>
      <c r="W34" s="17"/>
      <c r="X34" s="17"/>
      <c r="Y34" s="17"/>
      <c r="Z34" s="17"/>
      <c r="AA34" s="18"/>
      <c r="AB34" s="18"/>
      <c r="AC34" s="17"/>
      <c r="AD34" s="17"/>
      <c r="AE34" s="17"/>
      <c r="AF34" s="17"/>
      <c r="AG34" s="17"/>
      <c r="AH34" s="18"/>
    </row>
    <row r="35" spans="1:34" x14ac:dyDescent="0.45">
      <c r="A35" s="8" t="s">
        <v>144</v>
      </c>
      <c r="B35" s="8" t="s">
        <v>145</v>
      </c>
      <c r="C35" s="12" t="s">
        <v>109</v>
      </c>
      <c r="D35" s="17"/>
      <c r="E35" s="17"/>
      <c r="F35" s="18"/>
      <c r="G35" s="18"/>
      <c r="H35" s="17"/>
      <c r="I35" s="17"/>
      <c r="J35" s="17"/>
      <c r="K35" s="17"/>
      <c r="L35" s="17"/>
      <c r="M35" s="18"/>
      <c r="N35" s="18"/>
      <c r="O35" s="17"/>
      <c r="P35" s="17"/>
      <c r="Q35" s="17"/>
      <c r="R35" s="17"/>
      <c r="S35" s="17"/>
      <c r="T35" s="18"/>
      <c r="U35" s="18"/>
      <c r="V35" s="17"/>
      <c r="W35" s="17"/>
      <c r="X35" s="17"/>
      <c r="Y35" s="17"/>
      <c r="Z35" s="17"/>
      <c r="AA35" s="18"/>
      <c r="AB35" s="18"/>
      <c r="AC35" s="17"/>
      <c r="AD35" s="17"/>
      <c r="AE35" s="17"/>
      <c r="AF35" s="17"/>
      <c r="AG35" s="17"/>
      <c r="AH35" s="18"/>
    </row>
    <row r="36" spans="1:34" x14ac:dyDescent="0.45">
      <c r="A36" s="8" t="s">
        <v>144</v>
      </c>
      <c r="B36" s="8" t="s">
        <v>146</v>
      </c>
      <c r="C36" s="12" t="s">
        <v>109</v>
      </c>
      <c r="D36" s="17"/>
      <c r="E36" s="17"/>
      <c r="F36" s="18"/>
      <c r="G36" s="18"/>
      <c r="H36" s="17"/>
      <c r="I36" s="17"/>
      <c r="J36" s="17"/>
      <c r="K36" s="17"/>
      <c r="L36" s="17"/>
      <c r="M36" s="18"/>
      <c r="N36" s="18"/>
      <c r="O36" s="17"/>
      <c r="P36" s="17"/>
      <c r="Q36" s="17"/>
      <c r="R36" s="17"/>
      <c r="S36" s="17"/>
      <c r="T36" s="18"/>
      <c r="U36" s="18"/>
      <c r="V36" s="17"/>
      <c r="W36" s="17"/>
      <c r="X36" s="17"/>
      <c r="Y36" s="17"/>
      <c r="Z36" s="17"/>
      <c r="AA36" s="18"/>
      <c r="AB36" s="18"/>
      <c r="AC36" s="17"/>
      <c r="AD36" s="17"/>
      <c r="AE36" s="17"/>
      <c r="AF36" s="17"/>
      <c r="AG36" s="17"/>
      <c r="AH36" s="18"/>
    </row>
    <row r="37" spans="1:34" x14ac:dyDescent="0.45">
      <c r="A37" s="8" t="s">
        <v>144</v>
      </c>
      <c r="B37" s="8" t="s">
        <v>147</v>
      </c>
      <c r="C37" s="12" t="s">
        <v>109</v>
      </c>
      <c r="D37" s="17"/>
      <c r="E37" s="17"/>
      <c r="F37" s="18"/>
      <c r="G37" s="18"/>
      <c r="H37" s="17"/>
      <c r="I37" s="17"/>
      <c r="J37" s="17"/>
      <c r="K37" s="17"/>
      <c r="L37" s="17"/>
      <c r="M37" s="18"/>
      <c r="N37" s="18"/>
      <c r="O37" s="17"/>
      <c r="P37" s="17"/>
      <c r="Q37" s="17"/>
      <c r="R37" s="17"/>
      <c r="S37" s="17"/>
      <c r="T37" s="18"/>
      <c r="U37" s="18"/>
      <c r="V37" s="17"/>
      <c r="W37" s="17"/>
      <c r="X37" s="17"/>
      <c r="Y37" s="17"/>
      <c r="Z37" s="17"/>
      <c r="AA37" s="18"/>
      <c r="AB37" s="18"/>
      <c r="AC37" s="17"/>
      <c r="AD37" s="17"/>
      <c r="AE37" s="17"/>
      <c r="AF37" s="17"/>
      <c r="AG37" s="17"/>
      <c r="AH37" s="18"/>
    </row>
    <row r="38" spans="1:34" x14ac:dyDescent="0.45">
      <c r="A38" s="8" t="s">
        <v>144</v>
      </c>
      <c r="B38" s="8" t="s">
        <v>148</v>
      </c>
      <c r="C38" s="12" t="s">
        <v>109</v>
      </c>
      <c r="D38" s="17"/>
      <c r="E38" s="17"/>
      <c r="F38" s="18"/>
      <c r="G38" s="18"/>
      <c r="H38" s="17"/>
      <c r="I38" s="17"/>
      <c r="J38" s="17"/>
      <c r="K38" s="17"/>
      <c r="L38" s="17"/>
      <c r="M38" s="18"/>
      <c r="N38" s="18"/>
      <c r="O38" s="17"/>
      <c r="P38" s="17"/>
      <c r="Q38" s="17"/>
      <c r="R38" s="17"/>
      <c r="S38" s="17"/>
      <c r="T38" s="18"/>
      <c r="U38" s="18"/>
      <c r="V38" s="17"/>
      <c r="W38" s="17"/>
      <c r="X38" s="17"/>
      <c r="Y38" s="17"/>
      <c r="Z38" s="17"/>
      <c r="AA38" s="18"/>
      <c r="AB38" s="18"/>
      <c r="AC38" s="17"/>
      <c r="AD38" s="17"/>
      <c r="AE38" s="17"/>
      <c r="AF38" s="17"/>
      <c r="AG38" s="17"/>
      <c r="AH38" s="18"/>
    </row>
    <row r="39" spans="1:34" x14ac:dyDescent="0.45">
      <c r="A39" s="8" t="s">
        <v>149</v>
      </c>
      <c r="B39" s="8" t="s">
        <v>150</v>
      </c>
      <c r="C39" s="12" t="s">
        <v>109</v>
      </c>
      <c r="D39" s="17"/>
      <c r="E39" s="17"/>
      <c r="F39" s="18"/>
      <c r="G39" s="18"/>
      <c r="H39" s="17"/>
      <c r="I39" s="17"/>
      <c r="J39" s="17"/>
      <c r="K39" s="17"/>
      <c r="L39" s="17"/>
      <c r="M39" s="18"/>
      <c r="N39" s="18"/>
      <c r="O39" s="17"/>
      <c r="P39" s="17"/>
      <c r="Q39" s="17"/>
      <c r="R39" s="17"/>
      <c r="S39" s="17"/>
      <c r="T39" s="18"/>
      <c r="U39" s="18"/>
      <c r="V39" s="17"/>
      <c r="W39" s="17"/>
      <c r="X39" s="17"/>
      <c r="Y39" s="17"/>
      <c r="Z39" s="17"/>
      <c r="AA39" s="18"/>
      <c r="AB39" s="18"/>
      <c r="AC39" s="17"/>
      <c r="AD39" s="17"/>
      <c r="AE39" s="17"/>
      <c r="AF39" s="17"/>
      <c r="AG39" s="17"/>
      <c r="AH39" s="18"/>
    </row>
    <row r="40" spans="1:34" x14ac:dyDescent="0.45">
      <c r="A40" s="8" t="s">
        <v>149</v>
      </c>
      <c r="B40" s="8" t="s">
        <v>151</v>
      </c>
      <c r="C40" s="12" t="s">
        <v>109</v>
      </c>
      <c r="D40" s="17"/>
      <c r="E40" s="17"/>
      <c r="F40" s="18"/>
      <c r="G40" s="18"/>
      <c r="H40" s="17"/>
      <c r="I40" s="17"/>
      <c r="J40" s="17"/>
      <c r="K40" s="17"/>
      <c r="L40" s="17"/>
      <c r="M40" s="18"/>
      <c r="N40" s="18"/>
      <c r="O40" s="17"/>
      <c r="P40" s="17"/>
      <c r="Q40" s="17"/>
      <c r="R40" s="17"/>
      <c r="S40" s="17"/>
      <c r="T40" s="18"/>
      <c r="U40" s="18"/>
      <c r="V40" s="17"/>
      <c r="W40" s="17"/>
      <c r="X40" s="17"/>
      <c r="Y40" s="17"/>
      <c r="Z40" s="17"/>
      <c r="AA40" s="18"/>
      <c r="AB40" s="18"/>
      <c r="AC40" s="17"/>
      <c r="AD40" s="17"/>
      <c r="AE40" s="17"/>
      <c r="AF40" s="17"/>
      <c r="AG40" s="17"/>
      <c r="AH40" s="18"/>
    </row>
    <row r="41" spans="1:34" x14ac:dyDescent="0.45">
      <c r="A41" s="8" t="s">
        <v>149</v>
      </c>
      <c r="B41" s="8" t="s">
        <v>152</v>
      </c>
      <c r="C41" s="12" t="s">
        <v>109</v>
      </c>
      <c r="D41" s="17"/>
      <c r="E41" s="17"/>
      <c r="F41" s="18"/>
      <c r="G41" s="18"/>
      <c r="H41" s="17"/>
      <c r="I41" s="17"/>
      <c r="J41" s="17"/>
      <c r="K41" s="17"/>
      <c r="L41" s="17"/>
      <c r="M41" s="18"/>
      <c r="N41" s="18"/>
      <c r="O41" s="17"/>
      <c r="P41" s="17"/>
      <c r="Q41" s="17"/>
      <c r="R41" s="17"/>
      <c r="S41" s="17"/>
      <c r="T41" s="18"/>
      <c r="U41" s="18"/>
      <c r="V41" s="17"/>
      <c r="W41" s="17"/>
      <c r="X41" s="17"/>
      <c r="Y41" s="17"/>
      <c r="Z41" s="17"/>
      <c r="AA41" s="18"/>
      <c r="AB41" s="18"/>
      <c r="AC41" s="17"/>
      <c r="AD41" s="17"/>
      <c r="AE41" s="17"/>
      <c r="AF41" s="17"/>
      <c r="AG41" s="17"/>
      <c r="AH41" s="18"/>
    </row>
    <row r="42" spans="1:34" x14ac:dyDescent="0.45">
      <c r="A42" s="8" t="s">
        <v>149</v>
      </c>
      <c r="B42" s="8" t="s">
        <v>153</v>
      </c>
      <c r="C42" s="12" t="s">
        <v>109</v>
      </c>
      <c r="D42" s="17"/>
      <c r="E42" s="17"/>
      <c r="F42" s="18"/>
      <c r="G42" s="18"/>
      <c r="H42" s="17"/>
      <c r="I42" s="17"/>
      <c r="J42" s="17"/>
      <c r="K42" s="17"/>
      <c r="L42" s="17"/>
      <c r="M42" s="18"/>
      <c r="N42" s="18"/>
      <c r="O42" s="17"/>
      <c r="P42" s="17"/>
      <c r="Q42" s="17"/>
      <c r="R42" s="17"/>
      <c r="S42" s="17"/>
      <c r="T42" s="18"/>
      <c r="U42" s="18"/>
      <c r="V42" s="17"/>
      <c r="W42" s="17"/>
      <c r="X42" s="17"/>
      <c r="Y42" s="17"/>
      <c r="Z42" s="17"/>
      <c r="AA42" s="18"/>
      <c r="AB42" s="18"/>
      <c r="AC42" s="17"/>
      <c r="AD42" s="17"/>
      <c r="AE42" s="17"/>
      <c r="AF42" s="17"/>
      <c r="AG42" s="17"/>
      <c r="AH42" s="18"/>
    </row>
    <row r="43" spans="1:34" x14ac:dyDescent="0.45">
      <c r="A43" s="8" t="s">
        <v>149</v>
      </c>
      <c r="B43" s="8" t="s">
        <v>154</v>
      </c>
      <c r="C43" s="12" t="s">
        <v>109</v>
      </c>
      <c r="D43" s="17"/>
      <c r="E43" s="17"/>
      <c r="F43" s="18"/>
      <c r="G43" s="18"/>
      <c r="H43" s="17"/>
      <c r="I43" s="17"/>
      <c r="J43" s="17"/>
      <c r="K43" s="17"/>
      <c r="L43" s="17"/>
      <c r="M43" s="18"/>
      <c r="N43" s="18"/>
      <c r="O43" s="17"/>
      <c r="P43" s="17"/>
      <c r="Q43" s="17"/>
      <c r="R43" s="17"/>
      <c r="S43" s="17"/>
      <c r="T43" s="18"/>
      <c r="U43" s="18"/>
      <c r="V43" s="17"/>
      <c r="W43" s="17"/>
      <c r="X43" s="17"/>
      <c r="Y43" s="17"/>
      <c r="Z43" s="17"/>
      <c r="AA43" s="18"/>
      <c r="AB43" s="18"/>
      <c r="AC43" s="17"/>
      <c r="AD43" s="17"/>
      <c r="AE43" s="17"/>
      <c r="AF43" s="17"/>
      <c r="AG43" s="17"/>
      <c r="AH43" s="18"/>
    </row>
    <row r="44" spans="1:34" x14ac:dyDescent="0.45">
      <c r="A44" s="8" t="s">
        <v>155</v>
      </c>
      <c r="B44" s="8" t="s">
        <v>156</v>
      </c>
      <c r="C44" s="12" t="s">
        <v>109</v>
      </c>
      <c r="D44" s="17"/>
      <c r="E44" s="17"/>
      <c r="F44" s="18"/>
      <c r="G44" s="18"/>
      <c r="H44" s="17"/>
      <c r="I44" s="17"/>
      <c r="J44" s="17"/>
      <c r="K44" s="17"/>
      <c r="L44" s="17"/>
      <c r="M44" s="18"/>
      <c r="N44" s="18"/>
      <c r="O44" s="17"/>
      <c r="P44" s="17"/>
      <c r="Q44" s="17"/>
      <c r="R44" s="17"/>
      <c r="S44" s="17"/>
      <c r="T44" s="18"/>
      <c r="U44" s="18"/>
      <c r="V44" s="17"/>
      <c r="W44" s="17"/>
      <c r="X44" s="17"/>
      <c r="Y44" s="17"/>
      <c r="Z44" s="17"/>
      <c r="AA44" s="18"/>
      <c r="AB44" s="18"/>
      <c r="AC44" s="17"/>
      <c r="AD44" s="17"/>
      <c r="AE44" s="17"/>
      <c r="AF44" s="17"/>
      <c r="AG44" s="17"/>
      <c r="AH44" s="18"/>
    </row>
    <row r="45" spans="1:34" x14ac:dyDescent="0.45">
      <c r="A45" s="8" t="s">
        <v>155</v>
      </c>
      <c r="B45" s="8" t="s">
        <v>157</v>
      </c>
      <c r="C45" s="12" t="s">
        <v>109</v>
      </c>
      <c r="D45" s="17"/>
      <c r="E45" s="17"/>
      <c r="F45" s="18"/>
      <c r="G45" s="18"/>
      <c r="H45" s="17"/>
      <c r="I45" s="17"/>
      <c r="J45" s="17"/>
      <c r="K45" s="17"/>
      <c r="L45" s="17"/>
      <c r="M45" s="18"/>
      <c r="N45" s="18"/>
      <c r="O45" s="17"/>
      <c r="P45" s="17"/>
      <c r="Q45" s="17"/>
      <c r="R45" s="17"/>
      <c r="S45" s="17"/>
      <c r="T45" s="18"/>
      <c r="U45" s="18"/>
      <c r="V45" s="17"/>
      <c r="W45" s="17"/>
      <c r="X45" s="17"/>
      <c r="Y45" s="17"/>
      <c r="Z45" s="17"/>
      <c r="AA45" s="18"/>
      <c r="AB45" s="18"/>
      <c r="AC45" s="17"/>
      <c r="AD45" s="17"/>
      <c r="AE45" s="17"/>
      <c r="AF45" s="17"/>
      <c r="AG45" s="17"/>
      <c r="AH45" s="18"/>
    </row>
    <row r="46" spans="1:34" x14ac:dyDescent="0.45">
      <c r="A46" s="8" t="s">
        <v>158</v>
      </c>
      <c r="B46" s="8" t="s">
        <v>159</v>
      </c>
      <c r="C46" s="12" t="s">
        <v>109</v>
      </c>
      <c r="D46" s="17"/>
      <c r="E46" s="17"/>
      <c r="F46" s="18"/>
      <c r="G46" s="18"/>
      <c r="H46" s="17"/>
      <c r="I46" s="17"/>
      <c r="J46" s="17"/>
      <c r="K46" s="17"/>
      <c r="L46" s="17"/>
      <c r="M46" s="18"/>
      <c r="N46" s="18"/>
      <c r="O46" s="17"/>
      <c r="P46" s="17"/>
      <c r="Q46" s="17"/>
      <c r="R46" s="17"/>
      <c r="S46" s="17"/>
      <c r="T46" s="18"/>
      <c r="U46" s="18"/>
      <c r="V46" s="17"/>
      <c r="W46" s="17"/>
      <c r="X46" s="17"/>
      <c r="Y46" s="17"/>
      <c r="Z46" s="17"/>
      <c r="AA46" s="18"/>
      <c r="AB46" s="18"/>
      <c r="AC46" s="17"/>
      <c r="AD46" s="17"/>
      <c r="AE46" s="17"/>
      <c r="AF46" s="17"/>
      <c r="AG46" s="17"/>
      <c r="AH46" s="18"/>
    </row>
    <row r="47" spans="1:34" x14ac:dyDescent="0.45">
      <c r="A47" s="8" t="s">
        <v>158</v>
      </c>
      <c r="B47" s="8" t="s">
        <v>160</v>
      </c>
      <c r="C47" s="12" t="s">
        <v>109</v>
      </c>
      <c r="D47" s="17"/>
      <c r="E47" s="17"/>
      <c r="F47" s="18"/>
      <c r="G47" s="18"/>
      <c r="H47" s="17"/>
      <c r="I47" s="17"/>
      <c r="J47" s="17"/>
      <c r="K47" s="17"/>
      <c r="L47" s="17"/>
      <c r="M47" s="18"/>
      <c r="N47" s="18"/>
      <c r="O47" s="17"/>
      <c r="P47" s="17"/>
      <c r="Q47" s="17"/>
      <c r="R47" s="17"/>
      <c r="S47" s="17"/>
      <c r="T47" s="18"/>
      <c r="U47" s="18"/>
      <c r="V47" s="17"/>
      <c r="W47" s="17"/>
      <c r="X47" s="17"/>
      <c r="Y47" s="17"/>
      <c r="Z47" s="17"/>
      <c r="AA47" s="18"/>
      <c r="AB47" s="18"/>
      <c r="AC47" s="17"/>
      <c r="AD47" s="17"/>
      <c r="AE47" s="17"/>
      <c r="AF47" s="17"/>
      <c r="AG47" s="17"/>
      <c r="AH47" s="18"/>
    </row>
    <row r="48" spans="1:34" x14ac:dyDescent="0.45">
      <c r="A48" s="8" t="s">
        <v>158</v>
      </c>
      <c r="B48" s="8" t="s">
        <v>161</v>
      </c>
      <c r="C48" s="12" t="s">
        <v>109</v>
      </c>
      <c r="D48" s="17"/>
      <c r="E48" s="17"/>
      <c r="F48" s="18"/>
      <c r="G48" s="18"/>
      <c r="H48" s="17"/>
      <c r="I48" s="17"/>
      <c r="J48" s="17"/>
      <c r="K48" s="17"/>
      <c r="L48" s="17"/>
      <c r="M48" s="18"/>
      <c r="N48" s="18"/>
      <c r="O48" s="17"/>
      <c r="P48" s="17"/>
      <c r="Q48" s="17"/>
      <c r="R48" s="17"/>
      <c r="S48" s="17"/>
      <c r="T48" s="18"/>
      <c r="U48" s="18"/>
      <c r="V48" s="17"/>
      <c r="W48" s="17"/>
      <c r="X48" s="17"/>
      <c r="Y48" s="17"/>
      <c r="Z48" s="17"/>
      <c r="AA48" s="18"/>
      <c r="AB48" s="18"/>
      <c r="AC48" s="17"/>
      <c r="AD48" s="17"/>
      <c r="AE48" s="17"/>
      <c r="AF48" s="17"/>
      <c r="AG48" s="17"/>
      <c r="AH48" s="18"/>
    </row>
    <row r="49" spans="1:34" x14ac:dyDescent="0.45">
      <c r="A49" s="7" t="s">
        <v>162</v>
      </c>
      <c r="D49" s="19">
        <f t="shared" ref="D49:AH49" si="0">SUM(D6:D48)</f>
        <v>0</v>
      </c>
      <c r="E49" s="19">
        <f t="shared" si="0"/>
        <v>0</v>
      </c>
      <c r="F49" s="19">
        <f t="shared" si="0"/>
        <v>0</v>
      </c>
      <c r="G49" s="19">
        <f t="shared" si="0"/>
        <v>0</v>
      </c>
      <c r="H49" s="19">
        <f t="shared" si="0"/>
        <v>0</v>
      </c>
      <c r="I49" s="19">
        <f t="shared" si="0"/>
        <v>0</v>
      </c>
      <c r="J49" s="19">
        <f t="shared" si="0"/>
        <v>0</v>
      </c>
      <c r="K49" s="19">
        <f t="shared" si="0"/>
        <v>0</v>
      </c>
      <c r="L49" s="19">
        <f t="shared" si="0"/>
        <v>0</v>
      </c>
      <c r="M49" s="19">
        <f t="shared" si="0"/>
        <v>0</v>
      </c>
      <c r="N49" s="19">
        <f t="shared" si="0"/>
        <v>0</v>
      </c>
      <c r="O49" s="19">
        <f t="shared" si="0"/>
        <v>0</v>
      </c>
      <c r="P49" s="19">
        <f t="shared" si="0"/>
        <v>0</v>
      </c>
      <c r="Q49" s="19">
        <f t="shared" si="0"/>
        <v>0</v>
      </c>
      <c r="R49" s="19">
        <f t="shared" si="0"/>
        <v>0</v>
      </c>
      <c r="S49" s="19">
        <f t="shared" si="0"/>
        <v>0</v>
      </c>
      <c r="T49" s="19">
        <f t="shared" si="0"/>
        <v>0</v>
      </c>
      <c r="U49" s="19">
        <f t="shared" si="0"/>
        <v>0</v>
      </c>
      <c r="V49" s="19">
        <f t="shared" si="0"/>
        <v>0</v>
      </c>
      <c r="W49" s="19">
        <f t="shared" si="0"/>
        <v>0</v>
      </c>
      <c r="X49" s="19">
        <f t="shared" si="0"/>
        <v>0</v>
      </c>
      <c r="Y49" s="19">
        <f t="shared" si="0"/>
        <v>0</v>
      </c>
      <c r="Z49" s="19">
        <f t="shared" si="0"/>
        <v>0</v>
      </c>
      <c r="AA49" s="19">
        <f t="shared" si="0"/>
        <v>0</v>
      </c>
      <c r="AB49" s="19">
        <f t="shared" si="0"/>
        <v>0</v>
      </c>
      <c r="AC49" s="19">
        <f t="shared" si="0"/>
        <v>0</v>
      </c>
      <c r="AD49" s="19">
        <f t="shared" si="0"/>
        <v>0</v>
      </c>
      <c r="AE49" s="19">
        <f t="shared" si="0"/>
        <v>0</v>
      </c>
      <c r="AF49" s="19">
        <f t="shared" si="0"/>
        <v>0</v>
      </c>
      <c r="AG49" s="19">
        <f t="shared" si="0"/>
        <v>0</v>
      </c>
      <c r="AH49" s="19">
        <f t="shared" si="0"/>
        <v>0</v>
      </c>
    </row>
  </sheetData>
  <dataValidations count="2">
    <dataValidation type="list" sqref="C6:C48" xr:uid="{00000000-0002-0000-0200-000000000000}">
      <formula1>"Oui,Non"</formula1>
      <formula2>0</formula2>
    </dataValidation>
    <dataValidation type="whole" operator="greaterThanOrEqual" sqref="D6:AH48" xr:uid="{00000000-0002-0000-0200-000001000000}">
      <formula1>0</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9"/>
  <sheetViews>
    <sheetView zoomScaleNormal="100" workbookViewId="0">
      <pane xSplit="3" ySplit="5" topLeftCell="D6" activePane="bottomRight" state="frozen"/>
      <selection pane="topRight" activeCell="D1" sqref="D1"/>
      <selection pane="bottomLeft" activeCell="A6" sqref="A6"/>
      <selection pane="bottomRight"/>
    </sheetView>
  </sheetViews>
  <sheetFormatPr defaultColWidth="8.6640625" defaultRowHeight="14.25" x14ac:dyDescent="0.45"/>
  <cols>
    <col min="1" max="1" width="11" customWidth="1"/>
    <col min="2" max="2" width="24" customWidth="1"/>
    <col min="3" max="3" width="8" customWidth="1"/>
    <col min="4" max="34" width="5.53125" customWidth="1"/>
  </cols>
  <sheetData>
    <row r="1" spans="1:34" ht="17.649999999999999" x14ac:dyDescent="0.5">
      <c r="A1" s="5" t="s">
        <v>163</v>
      </c>
    </row>
    <row r="2" spans="1:34" x14ac:dyDescent="0.45">
      <c r="A2" s="6" t="s">
        <v>71</v>
      </c>
    </row>
    <row r="3" spans="1:34" x14ac:dyDescent="0.45">
      <c r="A3" s="6" t="s">
        <v>72</v>
      </c>
    </row>
    <row r="5" spans="1:34" ht="30" customHeight="1" x14ac:dyDescent="0.45">
      <c r="A5" s="14" t="s">
        <v>73</v>
      </c>
      <c r="B5" s="14" t="s">
        <v>74</v>
      </c>
      <c r="C5" s="14"/>
      <c r="D5" s="14" t="s">
        <v>76</v>
      </c>
      <c r="E5" s="14" t="s">
        <v>77</v>
      </c>
      <c r="F5" s="14" t="s">
        <v>78</v>
      </c>
      <c r="G5" s="14" t="s">
        <v>79</v>
      </c>
      <c r="H5" s="14" t="s">
        <v>80</v>
      </c>
      <c r="I5" s="14" t="s">
        <v>81</v>
      </c>
      <c r="J5" s="14" t="s">
        <v>82</v>
      </c>
      <c r="K5" s="14" t="s">
        <v>83</v>
      </c>
      <c r="L5" s="14" t="s">
        <v>84</v>
      </c>
      <c r="M5" s="14" t="s">
        <v>85</v>
      </c>
      <c r="N5" s="14" t="s">
        <v>86</v>
      </c>
      <c r="O5" s="14" t="s">
        <v>87</v>
      </c>
      <c r="P5" s="14" t="s">
        <v>88</v>
      </c>
      <c r="Q5" s="14" t="s">
        <v>89</v>
      </c>
      <c r="R5" s="14" t="s">
        <v>90</v>
      </c>
      <c r="S5" s="14" t="s">
        <v>91</v>
      </c>
      <c r="T5" s="14" t="s">
        <v>92</v>
      </c>
      <c r="U5" s="14" t="s">
        <v>93</v>
      </c>
      <c r="V5" s="14" t="s">
        <v>94</v>
      </c>
      <c r="W5" s="14" t="s">
        <v>95</v>
      </c>
      <c r="X5" s="14" t="s">
        <v>96</v>
      </c>
      <c r="Y5" s="14" t="s">
        <v>97</v>
      </c>
      <c r="Z5" s="14" t="s">
        <v>98</v>
      </c>
      <c r="AA5" s="14" t="s">
        <v>99</v>
      </c>
      <c r="AB5" s="14" t="s">
        <v>100</v>
      </c>
      <c r="AC5" s="14" t="s">
        <v>101</v>
      </c>
      <c r="AD5" s="14" t="s">
        <v>102</v>
      </c>
      <c r="AE5" s="14" t="s">
        <v>103</v>
      </c>
      <c r="AF5" s="14" t="s">
        <v>104</v>
      </c>
      <c r="AG5" s="14" t="s">
        <v>105</v>
      </c>
      <c r="AH5" s="14" t="s">
        <v>106</v>
      </c>
    </row>
    <row r="6" spans="1:34" x14ac:dyDescent="0.45">
      <c r="A6" s="8" t="s">
        <v>107</v>
      </c>
      <c r="B6" s="8" t="s">
        <v>108</v>
      </c>
      <c r="D6" s="17"/>
      <c r="E6" s="17"/>
      <c r="F6" s="18"/>
      <c r="G6" s="18"/>
      <c r="H6" s="17"/>
      <c r="I6" s="17"/>
      <c r="J6" s="17"/>
      <c r="K6" s="17"/>
      <c r="L6" s="17"/>
      <c r="M6" s="18"/>
      <c r="N6" s="18"/>
      <c r="O6" s="17"/>
      <c r="P6" s="17"/>
      <c r="Q6" s="17"/>
      <c r="R6" s="17"/>
      <c r="S6" s="17"/>
      <c r="T6" s="18"/>
      <c r="U6" s="18"/>
      <c r="V6" s="17"/>
      <c r="W6" s="17"/>
      <c r="X6" s="17"/>
      <c r="Y6" s="17"/>
      <c r="Z6" s="17"/>
      <c r="AA6" s="18"/>
      <c r="AB6" s="18"/>
      <c r="AC6" s="17"/>
      <c r="AD6" s="17"/>
      <c r="AE6" s="17"/>
      <c r="AF6" s="17"/>
      <c r="AG6" s="17"/>
      <c r="AH6" s="18"/>
    </row>
    <row r="7" spans="1:34" x14ac:dyDescent="0.45">
      <c r="A7" s="8" t="s">
        <v>107</v>
      </c>
      <c r="B7" s="8" t="s">
        <v>110</v>
      </c>
      <c r="D7" s="17"/>
      <c r="E7" s="17"/>
      <c r="F7" s="18"/>
      <c r="G7" s="18"/>
      <c r="H7" s="17"/>
      <c r="I7" s="17"/>
      <c r="J7" s="17"/>
      <c r="K7" s="17"/>
      <c r="L7" s="17"/>
      <c r="M7" s="18"/>
      <c r="N7" s="18"/>
      <c r="O7" s="17"/>
      <c r="P7" s="17"/>
      <c r="Q7" s="17"/>
      <c r="R7" s="17"/>
      <c r="S7" s="17"/>
      <c r="T7" s="18"/>
      <c r="U7" s="18"/>
      <c r="V7" s="17"/>
      <c r="W7" s="17"/>
      <c r="X7" s="17"/>
      <c r="Y7" s="17"/>
      <c r="Z7" s="17"/>
      <c r="AA7" s="18"/>
      <c r="AB7" s="18"/>
      <c r="AC7" s="17"/>
      <c r="AD7" s="17"/>
      <c r="AE7" s="17"/>
      <c r="AF7" s="17"/>
      <c r="AG7" s="17"/>
      <c r="AH7" s="18"/>
    </row>
    <row r="8" spans="1:34" x14ac:dyDescent="0.45">
      <c r="A8" s="8" t="s">
        <v>107</v>
      </c>
      <c r="B8" s="8" t="s">
        <v>111</v>
      </c>
      <c r="D8" s="17"/>
      <c r="E8" s="17"/>
      <c r="F8" s="18"/>
      <c r="G8" s="18"/>
      <c r="H8" s="17"/>
      <c r="I8" s="17"/>
      <c r="J8" s="17"/>
      <c r="K8" s="17"/>
      <c r="L8" s="17"/>
      <c r="M8" s="18"/>
      <c r="N8" s="18"/>
      <c r="O8" s="17"/>
      <c r="P8" s="17"/>
      <c r="Q8" s="17"/>
      <c r="R8" s="17"/>
      <c r="S8" s="17"/>
      <c r="T8" s="18"/>
      <c r="U8" s="18"/>
      <c r="V8" s="17"/>
      <c r="W8" s="17"/>
      <c r="X8" s="17"/>
      <c r="Y8" s="17"/>
      <c r="Z8" s="17"/>
      <c r="AA8" s="18"/>
      <c r="AB8" s="18"/>
      <c r="AC8" s="17"/>
      <c r="AD8" s="17"/>
      <c r="AE8" s="17"/>
      <c r="AF8" s="17"/>
      <c r="AG8" s="17"/>
      <c r="AH8" s="18"/>
    </row>
    <row r="9" spans="1:34" x14ac:dyDescent="0.45">
      <c r="A9" s="8" t="s">
        <v>107</v>
      </c>
      <c r="B9" s="8" t="s">
        <v>112</v>
      </c>
      <c r="D9" s="17"/>
      <c r="E9" s="17"/>
      <c r="F9" s="18"/>
      <c r="G9" s="18"/>
      <c r="H9" s="17"/>
      <c r="I9" s="17"/>
      <c r="J9" s="17"/>
      <c r="K9" s="17"/>
      <c r="L9" s="17"/>
      <c r="M9" s="18"/>
      <c r="N9" s="18"/>
      <c r="O9" s="17"/>
      <c r="P9" s="17"/>
      <c r="Q9" s="17"/>
      <c r="R9" s="17"/>
      <c r="S9" s="17"/>
      <c r="T9" s="18"/>
      <c r="U9" s="18"/>
      <c r="V9" s="17"/>
      <c r="W9" s="17"/>
      <c r="X9" s="17"/>
      <c r="Y9" s="17"/>
      <c r="Z9" s="17"/>
      <c r="AA9" s="18"/>
      <c r="AB9" s="18"/>
      <c r="AC9" s="17"/>
      <c r="AD9" s="17"/>
      <c r="AE9" s="17"/>
      <c r="AF9" s="17"/>
      <c r="AG9" s="17"/>
      <c r="AH9" s="18"/>
    </row>
    <row r="10" spans="1:34" x14ac:dyDescent="0.45">
      <c r="A10" s="8" t="s">
        <v>107</v>
      </c>
      <c r="B10" s="8" t="s">
        <v>113</v>
      </c>
      <c r="D10" s="17"/>
      <c r="E10" s="17"/>
      <c r="F10" s="18"/>
      <c r="G10" s="18"/>
      <c r="H10" s="17"/>
      <c r="I10" s="17"/>
      <c r="J10" s="17"/>
      <c r="K10" s="17"/>
      <c r="L10" s="17"/>
      <c r="M10" s="18"/>
      <c r="N10" s="18"/>
      <c r="O10" s="17"/>
      <c r="P10" s="17"/>
      <c r="Q10" s="17"/>
      <c r="R10" s="17"/>
      <c r="S10" s="17"/>
      <c r="T10" s="18"/>
      <c r="U10" s="18"/>
      <c r="V10" s="17"/>
      <c r="W10" s="17"/>
      <c r="X10" s="17"/>
      <c r="Y10" s="17"/>
      <c r="Z10" s="17"/>
      <c r="AA10" s="18"/>
      <c r="AB10" s="18"/>
      <c r="AC10" s="17"/>
      <c r="AD10" s="17"/>
      <c r="AE10" s="17"/>
      <c r="AF10" s="17"/>
      <c r="AG10" s="17"/>
      <c r="AH10" s="18"/>
    </row>
    <row r="11" spans="1:34" x14ac:dyDescent="0.45">
      <c r="A11" s="8" t="s">
        <v>107</v>
      </c>
      <c r="B11" s="8" t="s">
        <v>114</v>
      </c>
      <c r="D11" s="17"/>
      <c r="E11" s="17"/>
      <c r="F11" s="18"/>
      <c r="G11" s="18"/>
      <c r="H11" s="17"/>
      <c r="I11" s="17"/>
      <c r="J11" s="17"/>
      <c r="K11" s="17"/>
      <c r="L11" s="17"/>
      <c r="M11" s="18"/>
      <c r="N11" s="18"/>
      <c r="O11" s="17"/>
      <c r="P11" s="17"/>
      <c r="Q11" s="17"/>
      <c r="R11" s="17"/>
      <c r="S11" s="17"/>
      <c r="T11" s="18"/>
      <c r="U11" s="18"/>
      <c r="V11" s="17"/>
      <c r="W11" s="17"/>
      <c r="X11" s="17"/>
      <c r="Y11" s="17"/>
      <c r="Z11" s="17"/>
      <c r="AA11" s="18"/>
      <c r="AB11" s="18"/>
      <c r="AC11" s="17"/>
      <c r="AD11" s="17"/>
      <c r="AE11" s="17"/>
      <c r="AF11" s="17"/>
      <c r="AG11" s="17"/>
      <c r="AH11" s="18"/>
    </row>
    <row r="12" spans="1:34" x14ac:dyDescent="0.45">
      <c r="A12" s="8" t="s">
        <v>107</v>
      </c>
      <c r="B12" s="8" t="s">
        <v>115</v>
      </c>
      <c r="D12" s="17"/>
      <c r="E12" s="17"/>
      <c r="F12" s="18"/>
      <c r="G12" s="18"/>
      <c r="H12" s="17"/>
      <c r="I12" s="17"/>
      <c r="J12" s="17"/>
      <c r="K12" s="17"/>
      <c r="L12" s="17"/>
      <c r="M12" s="18"/>
      <c r="N12" s="18"/>
      <c r="O12" s="17"/>
      <c r="P12" s="17"/>
      <c r="Q12" s="17"/>
      <c r="R12" s="17"/>
      <c r="S12" s="17"/>
      <c r="T12" s="18"/>
      <c r="U12" s="18"/>
      <c r="V12" s="17"/>
      <c r="W12" s="17"/>
      <c r="X12" s="17"/>
      <c r="Y12" s="17"/>
      <c r="Z12" s="17"/>
      <c r="AA12" s="18"/>
      <c r="AB12" s="18"/>
      <c r="AC12" s="17"/>
      <c r="AD12" s="17"/>
      <c r="AE12" s="17"/>
      <c r="AF12" s="17"/>
      <c r="AG12" s="17"/>
      <c r="AH12" s="18"/>
    </row>
    <row r="13" spans="1:34" x14ac:dyDescent="0.45">
      <c r="A13" s="8" t="s">
        <v>107</v>
      </c>
      <c r="B13" s="8" t="s">
        <v>116</v>
      </c>
      <c r="D13" s="17"/>
      <c r="E13" s="17"/>
      <c r="F13" s="18"/>
      <c r="G13" s="18"/>
      <c r="H13" s="17"/>
      <c r="I13" s="17"/>
      <c r="J13" s="17"/>
      <c r="K13" s="17"/>
      <c r="L13" s="17"/>
      <c r="M13" s="18"/>
      <c r="N13" s="18"/>
      <c r="O13" s="17"/>
      <c r="P13" s="17"/>
      <c r="Q13" s="17"/>
      <c r="R13" s="17"/>
      <c r="S13" s="17"/>
      <c r="T13" s="18"/>
      <c r="U13" s="18"/>
      <c r="V13" s="17"/>
      <c r="W13" s="17"/>
      <c r="X13" s="17"/>
      <c r="Y13" s="17"/>
      <c r="Z13" s="17"/>
      <c r="AA13" s="18"/>
      <c r="AB13" s="18"/>
      <c r="AC13" s="17"/>
      <c r="AD13" s="17"/>
      <c r="AE13" s="17"/>
      <c r="AF13" s="17"/>
      <c r="AG13" s="17"/>
      <c r="AH13" s="18"/>
    </row>
    <row r="14" spans="1:34" x14ac:dyDescent="0.45">
      <c r="A14" s="8" t="s">
        <v>107</v>
      </c>
      <c r="B14" s="8" t="s">
        <v>117</v>
      </c>
      <c r="D14" s="17"/>
      <c r="E14" s="17"/>
      <c r="F14" s="18"/>
      <c r="G14" s="18"/>
      <c r="H14" s="17"/>
      <c r="I14" s="17"/>
      <c r="J14" s="17"/>
      <c r="K14" s="17"/>
      <c r="L14" s="17"/>
      <c r="M14" s="18"/>
      <c r="N14" s="18"/>
      <c r="O14" s="17"/>
      <c r="P14" s="17"/>
      <c r="Q14" s="17"/>
      <c r="R14" s="17"/>
      <c r="S14" s="17"/>
      <c r="T14" s="18"/>
      <c r="U14" s="18"/>
      <c r="V14" s="17"/>
      <c r="W14" s="17"/>
      <c r="X14" s="17"/>
      <c r="Y14" s="17"/>
      <c r="Z14" s="17"/>
      <c r="AA14" s="18"/>
      <c r="AB14" s="18"/>
      <c r="AC14" s="17"/>
      <c r="AD14" s="17"/>
      <c r="AE14" s="17"/>
      <c r="AF14" s="17"/>
      <c r="AG14" s="17"/>
      <c r="AH14" s="18"/>
    </row>
    <row r="15" spans="1:34" x14ac:dyDescent="0.45">
      <c r="A15" s="8" t="s">
        <v>107</v>
      </c>
      <c r="B15" s="8" t="s">
        <v>118</v>
      </c>
      <c r="D15" s="17"/>
      <c r="E15" s="17"/>
      <c r="F15" s="18"/>
      <c r="G15" s="18"/>
      <c r="H15" s="17"/>
      <c r="I15" s="17"/>
      <c r="J15" s="17"/>
      <c r="K15" s="17"/>
      <c r="L15" s="17"/>
      <c r="M15" s="18"/>
      <c r="N15" s="18"/>
      <c r="O15" s="17"/>
      <c r="P15" s="17"/>
      <c r="Q15" s="17"/>
      <c r="R15" s="17"/>
      <c r="S15" s="17"/>
      <c r="T15" s="18"/>
      <c r="U15" s="18"/>
      <c r="V15" s="17"/>
      <c r="W15" s="17"/>
      <c r="X15" s="17"/>
      <c r="Y15" s="17"/>
      <c r="Z15" s="17"/>
      <c r="AA15" s="18"/>
      <c r="AB15" s="18"/>
      <c r="AC15" s="17"/>
      <c r="AD15" s="17"/>
      <c r="AE15" s="17"/>
      <c r="AF15" s="17"/>
      <c r="AG15" s="17"/>
      <c r="AH15" s="18"/>
    </row>
    <row r="16" spans="1:34" x14ac:dyDescent="0.45">
      <c r="A16" s="8" t="s">
        <v>107</v>
      </c>
      <c r="B16" s="8" t="s">
        <v>119</v>
      </c>
      <c r="D16" s="17"/>
      <c r="E16" s="17"/>
      <c r="F16" s="18"/>
      <c r="G16" s="18"/>
      <c r="H16" s="17"/>
      <c r="I16" s="17"/>
      <c r="J16" s="17"/>
      <c r="K16" s="17"/>
      <c r="L16" s="17"/>
      <c r="M16" s="18"/>
      <c r="N16" s="18"/>
      <c r="O16" s="17"/>
      <c r="P16" s="17"/>
      <c r="Q16" s="17"/>
      <c r="R16" s="17"/>
      <c r="S16" s="17"/>
      <c r="T16" s="18"/>
      <c r="U16" s="18"/>
      <c r="V16" s="17"/>
      <c r="W16" s="17"/>
      <c r="X16" s="17"/>
      <c r="Y16" s="17"/>
      <c r="Z16" s="17"/>
      <c r="AA16" s="18"/>
      <c r="AB16" s="18"/>
      <c r="AC16" s="17"/>
      <c r="AD16" s="17"/>
      <c r="AE16" s="17"/>
      <c r="AF16" s="17"/>
      <c r="AG16" s="17"/>
      <c r="AH16" s="18"/>
    </row>
    <row r="17" spans="1:34" x14ac:dyDescent="0.45">
      <c r="A17" s="8" t="s">
        <v>107</v>
      </c>
      <c r="B17" s="8" t="s">
        <v>120</v>
      </c>
      <c r="D17" s="17"/>
      <c r="E17" s="17"/>
      <c r="F17" s="18"/>
      <c r="G17" s="18"/>
      <c r="H17" s="17"/>
      <c r="I17" s="17"/>
      <c r="J17" s="17"/>
      <c r="K17" s="17"/>
      <c r="L17" s="17"/>
      <c r="M17" s="18"/>
      <c r="N17" s="18"/>
      <c r="O17" s="17"/>
      <c r="P17" s="17"/>
      <c r="Q17" s="17"/>
      <c r="R17" s="17"/>
      <c r="S17" s="17"/>
      <c r="T17" s="18"/>
      <c r="U17" s="18"/>
      <c r="V17" s="17"/>
      <c r="W17" s="17"/>
      <c r="X17" s="17"/>
      <c r="Y17" s="17"/>
      <c r="Z17" s="17"/>
      <c r="AA17" s="18"/>
      <c r="AB17" s="18"/>
      <c r="AC17" s="17"/>
      <c r="AD17" s="17"/>
      <c r="AE17" s="17"/>
      <c r="AF17" s="17"/>
      <c r="AG17" s="17"/>
      <c r="AH17" s="18"/>
    </row>
    <row r="18" spans="1:34" x14ac:dyDescent="0.45">
      <c r="A18" s="8" t="s">
        <v>107</v>
      </c>
      <c r="B18" s="8" t="s">
        <v>121</v>
      </c>
      <c r="D18" s="17"/>
      <c r="E18" s="17"/>
      <c r="F18" s="18"/>
      <c r="G18" s="18"/>
      <c r="H18" s="17"/>
      <c r="I18" s="17"/>
      <c r="J18" s="17"/>
      <c r="K18" s="17"/>
      <c r="L18" s="17"/>
      <c r="M18" s="18"/>
      <c r="N18" s="18"/>
      <c r="O18" s="17"/>
      <c r="P18" s="17"/>
      <c r="Q18" s="17"/>
      <c r="R18" s="17"/>
      <c r="S18" s="17"/>
      <c r="T18" s="18"/>
      <c r="U18" s="18"/>
      <c r="V18" s="17"/>
      <c r="W18" s="17"/>
      <c r="X18" s="17"/>
      <c r="Y18" s="17"/>
      <c r="Z18" s="17"/>
      <c r="AA18" s="18"/>
      <c r="AB18" s="18"/>
      <c r="AC18" s="17"/>
      <c r="AD18" s="17"/>
      <c r="AE18" s="17"/>
      <c r="AF18" s="17"/>
      <c r="AG18" s="17"/>
      <c r="AH18" s="18"/>
    </row>
    <row r="19" spans="1:34" x14ac:dyDescent="0.45">
      <c r="A19" s="8" t="s">
        <v>123</v>
      </c>
      <c r="B19" s="8" t="s">
        <v>124</v>
      </c>
      <c r="D19" s="17"/>
      <c r="E19" s="17"/>
      <c r="F19" s="18"/>
      <c r="G19" s="18"/>
      <c r="H19" s="17"/>
      <c r="I19" s="17"/>
      <c r="J19" s="17"/>
      <c r="K19" s="17"/>
      <c r="L19" s="17"/>
      <c r="M19" s="18"/>
      <c r="N19" s="18"/>
      <c r="O19" s="17"/>
      <c r="P19" s="17"/>
      <c r="Q19" s="17"/>
      <c r="R19" s="17"/>
      <c r="S19" s="17"/>
      <c r="T19" s="18"/>
      <c r="U19" s="18"/>
      <c r="V19" s="17"/>
      <c r="W19" s="17"/>
      <c r="X19" s="17"/>
      <c r="Y19" s="17"/>
      <c r="Z19" s="17"/>
      <c r="AA19" s="18"/>
      <c r="AB19" s="18"/>
      <c r="AC19" s="17"/>
      <c r="AD19" s="17"/>
      <c r="AE19" s="17"/>
      <c r="AF19" s="17"/>
      <c r="AG19" s="17"/>
      <c r="AH19" s="18"/>
    </row>
    <row r="20" spans="1:34" x14ac:dyDescent="0.45">
      <c r="A20" s="8" t="s">
        <v>123</v>
      </c>
      <c r="B20" s="8" t="s">
        <v>125</v>
      </c>
      <c r="D20" s="17"/>
      <c r="E20" s="17"/>
      <c r="F20" s="18"/>
      <c r="G20" s="18"/>
      <c r="H20" s="17"/>
      <c r="I20" s="17"/>
      <c r="J20" s="17"/>
      <c r="K20" s="17"/>
      <c r="L20" s="17"/>
      <c r="M20" s="18"/>
      <c r="N20" s="18"/>
      <c r="O20" s="17"/>
      <c r="P20" s="17"/>
      <c r="Q20" s="17"/>
      <c r="R20" s="17"/>
      <c r="S20" s="17"/>
      <c r="T20" s="18"/>
      <c r="U20" s="18"/>
      <c r="V20" s="17"/>
      <c r="W20" s="17"/>
      <c r="X20" s="17"/>
      <c r="Y20" s="17"/>
      <c r="Z20" s="17"/>
      <c r="AA20" s="18"/>
      <c r="AB20" s="18"/>
      <c r="AC20" s="17"/>
      <c r="AD20" s="17"/>
      <c r="AE20" s="17"/>
      <c r="AF20" s="17"/>
      <c r="AG20" s="17"/>
      <c r="AH20" s="18"/>
    </row>
    <row r="21" spans="1:34" x14ac:dyDescent="0.45">
      <c r="A21" s="8" t="s">
        <v>123</v>
      </c>
      <c r="B21" s="8" t="s">
        <v>126</v>
      </c>
      <c r="D21" s="17"/>
      <c r="E21" s="17"/>
      <c r="F21" s="18"/>
      <c r="G21" s="18"/>
      <c r="H21" s="17"/>
      <c r="I21" s="17"/>
      <c r="J21" s="17"/>
      <c r="K21" s="17"/>
      <c r="L21" s="17"/>
      <c r="M21" s="18"/>
      <c r="N21" s="18"/>
      <c r="O21" s="17"/>
      <c r="P21" s="17"/>
      <c r="Q21" s="17"/>
      <c r="R21" s="17"/>
      <c r="S21" s="17"/>
      <c r="T21" s="18"/>
      <c r="U21" s="18"/>
      <c r="V21" s="17"/>
      <c r="W21" s="17"/>
      <c r="X21" s="17"/>
      <c r="Y21" s="17"/>
      <c r="Z21" s="17"/>
      <c r="AA21" s="18"/>
      <c r="AB21" s="18"/>
      <c r="AC21" s="17"/>
      <c r="AD21" s="17"/>
      <c r="AE21" s="17"/>
      <c r="AF21" s="17"/>
      <c r="AG21" s="17"/>
      <c r="AH21" s="18"/>
    </row>
    <row r="22" spans="1:34" x14ac:dyDescent="0.45">
      <c r="A22" s="8" t="s">
        <v>127</v>
      </c>
      <c r="B22" s="8" t="s">
        <v>128</v>
      </c>
      <c r="D22" s="17"/>
      <c r="E22" s="17"/>
      <c r="F22" s="18"/>
      <c r="G22" s="18"/>
      <c r="H22" s="17"/>
      <c r="I22" s="17"/>
      <c r="J22" s="17"/>
      <c r="K22" s="17"/>
      <c r="L22" s="17"/>
      <c r="M22" s="18"/>
      <c r="N22" s="18"/>
      <c r="O22" s="17"/>
      <c r="P22" s="17"/>
      <c r="Q22" s="17"/>
      <c r="R22" s="17"/>
      <c r="S22" s="17"/>
      <c r="T22" s="18"/>
      <c r="U22" s="18"/>
      <c r="V22" s="17"/>
      <c r="W22" s="17"/>
      <c r="X22" s="17"/>
      <c r="Y22" s="17"/>
      <c r="Z22" s="17"/>
      <c r="AA22" s="18"/>
      <c r="AB22" s="18"/>
      <c r="AC22" s="17"/>
      <c r="AD22" s="17"/>
      <c r="AE22" s="17"/>
      <c r="AF22" s="17"/>
      <c r="AG22" s="17"/>
      <c r="AH22" s="18"/>
    </row>
    <row r="23" spans="1:34" x14ac:dyDescent="0.45">
      <c r="A23" s="8" t="s">
        <v>127</v>
      </c>
      <c r="B23" s="8" t="s">
        <v>129</v>
      </c>
      <c r="D23" s="17"/>
      <c r="E23" s="17"/>
      <c r="F23" s="18"/>
      <c r="G23" s="18"/>
      <c r="H23" s="17"/>
      <c r="I23" s="17"/>
      <c r="J23" s="17"/>
      <c r="K23" s="17"/>
      <c r="L23" s="17"/>
      <c r="M23" s="18"/>
      <c r="N23" s="18"/>
      <c r="O23" s="17"/>
      <c r="P23" s="17"/>
      <c r="Q23" s="17"/>
      <c r="R23" s="17"/>
      <c r="S23" s="17"/>
      <c r="T23" s="18"/>
      <c r="U23" s="18"/>
      <c r="V23" s="17"/>
      <c r="W23" s="17"/>
      <c r="X23" s="17"/>
      <c r="Y23" s="17"/>
      <c r="Z23" s="17"/>
      <c r="AA23" s="18"/>
      <c r="AB23" s="18"/>
      <c r="AC23" s="17"/>
      <c r="AD23" s="17"/>
      <c r="AE23" s="17"/>
      <c r="AF23" s="17"/>
      <c r="AG23" s="17"/>
      <c r="AH23" s="18"/>
    </row>
    <row r="24" spans="1:34" x14ac:dyDescent="0.45">
      <c r="A24" s="8" t="s">
        <v>127</v>
      </c>
      <c r="B24" s="8" t="s">
        <v>130</v>
      </c>
      <c r="D24" s="17"/>
      <c r="E24" s="17"/>
      <c r="F24" s="18"/>
      <c r="G24" s="18"/>
      <c r="H24" s="17"/>
      <c r="I24" s="17"/>
      <c r="J24" s="17"/>
      <c r="K24" s="17"/>
      <c r="L24" s="17"/>
      <c r="M24" s="18"/>
      <c r="N24" s="18"/>
      <c r="O24" s="17"/>
      <c r="P24" s="17"/>
      <c r="Q24" s="17"/>
      <c r="R24" s="17"/>
      <c r="S24" s="17"/>
      <c r="T24" s="18"/>
      <c r="U24" s="18"/>
      <c r="V24" s="17"/>
      <c r="W24" s="17"/>
      <c r="X24" s="17"/>
      <c r="Y24" s="17"/>
      <c r="Z24" s="17"/>
      <c r="AA24" s="18"/>
      <c r="AB24" s="18"/>
      <c r="AC24" s="17"/>
      <c r="AD24" s="17"/>
      <c r="AE24" s="17"/>
      <c r="AF24" s="17"/>
      <c r="AG24" s="17"/>
      <c r="AH24" s="18"/>
    </row>
    <row r="25" spans="1:34" x14ac:dyDescent="0.45">
      <c r="A25" s="8" t="s">
        <v>127</v>
      </c>
      <c r="B25" s="8" t="s">
        <v>131</v>
      </c>
      <c r="D25" s="17"/>
      <c r="E25" s="17"/>
      <c r="F25" s="18"/>
      <c r="G25" s="18"/>
      <c r="H25" s="17"/>
      <c r="I25" s="17"/>
      <c r="J25" s="17"/>
      <c r="K25" s="17"/>
      <c r="L25" s="17"/>
      <c r="M25" s="18"/>
      <c r="N25" s="18"/>
      <c r="O25" s="17"/>
      <c r="P25" s="17"/>
      <c r="Q25" s="17"/>
      <c r="R25" s="17"/>
      <c r="S25" s="17"/>
      <c r="T25" s="18"/>
      <c r="U25" s="18"/>
      <c r="V25" s="17"/>
      <c r="W25" s="17"/>
      <c r="X25" s="17"/>
      <c r="Y25" s="17"/>
      <c r="Z25" s="17"/>
      <c r="AA25" s="18"/>
      <c r="AB25" s="18"/>
      <c r="AC25" s="17"/>
      <c r="AD25" s="17"/>
      <c r="AE25" s="17"/>
      <c r="AF25" s="17"/>
      <c r="AG25" s="17"/>
      <c r="AH25" s="18"/>
    </row>
    <row r="26" spans="1:34" x14ac:dyDescent="0.45">
      <c r="A26" s="8" t="s">
        <v>132</v>
      </c>
      <c r="B26" s="8" t="s">
        <v>133</v>
      </c>
      <c r="D26" s="17"/>
      <c r="E26" s="17"/>
      <c r="F26" s="18"/>
      <c r="G26" s="18"/>
      <c r="H26" s="17"/>
      <c r="I26" s="17"/>
      <c r="J26" s="17"/>
      <c r="K26" s="17"/>
      <c r="L26" s="17"/>
      <c r="M26" s="18"/>
      <c r="N26" s="18"/>
      <c r="O26" s="17"/>
      <c r="P26" s="17"/>
      <c r="Q26" s="17"/>
      <c r="R26" s="17"/>
      <c r="S26" s="17"/>
      <c r="T26" s="18"/>
      <c r="U26" s="18"/>
      <c r="V26" s="17"/>
      <c r="W26" s="17"/>
      <c r="X26" s="17"/>
      <c r="Y26" s="17"/>
      <c r="Z26" s="17"/>
      <c r="AA26" s="18"/>
      <c r="AB26" s="18"/>
      <c r="AC26" s="17"/>
      <c r="AD26" s="17"/>
      <c r="AE26" s="17"/>
      <c r="AF26" s="17"/>
      <c r="AG26" s="17"/>
      <c r="AH26" s="18"/>
    </row>
    <row r="27" spans="1:34" x14ac:dyDescent="0.45">
      <c r="A27" s="8" t="s">
        <v>132</v>
      </c>
      <c r="B27" s="8" t="s">
        <v>134</v>
      </c>
      <c r="D27" s="17"/>
      <c r="E27" s="17"/>
      <c r="F27" s="18"/>
      <c r="G27" s="18"/>
      <c r="H27" s="17"/>
      <c r="I27" s="17"/>
      <c r="J27" s="17"/>
      <c r="K27" s="17"/>
      <c r="L27" s="17"/>
      <c r="M27" s="18"/>
      <c r="N27" s="18"/>
      <c r="O27" s="17"/>
      <c r="P27" s="17"/>
      <c r="Q27" s="17"/>
      <c r="R27" s="17"/>
      <c r="S27" s="17"/>
      <c r="T27" s="18"/>
      <c r="U27" s="18"/>
      <c r="V27" s="17"/>
      <c r="W27" s="17"/>
      <c r="X27" s="17"/>
      <c r="Y27" s="17"/>
      <c r="Z27" s="17"/>
      <c r="AA27" s="18"/>
      <c r="AB27" s="18"/>
      <c r="AC27" s="17"/>
      <c r="AD27" s="17"/>
      <c r="AE27" s="17"/>
      <c r="AF27" s="17"/>
      <c r="AG27" s="17"/>
      <c r="AH27" s="18"/>
    </row>
    <row r="28" spans="1:34" x14ac:dyDescent="0.45">
      <c r="A28" s="8" t="s">
        <v>132</v>
      </c>
      <c r="B28" s="8" t="s">
        <v>135</v>
      </c>
      <c r="D28" s="17"/>
      <c r="E28" s="17"/>
      <c r="F28" s="18"/>
      <c r="G28" s="18"/>
      <c r="H28" s="17"/>
      <c r="I28" s="17"/>
      <c r="J28" s="17"/>
      <c r="K28" s="17"/>
      <c r="L28" s="17"/>
      <c r="M28" s="18"/>
      <c r="N28" s="18"/>
      <c r="O28" s="17"/>
      <c r="P28" s="17"/>
      <c r="Q28" s="17"/>
      <c r="R28" s="17"/>
      <c r="S28" s="17"/>
      <c r="T28" s="18"/>
      <c r="U28" s="18"/>
      <c r="V28" s="17"/>
      <c r="W28" s="17"/>
      <c r="X28" s="17"/>
      <c r="Y28" s="17"/>
      <c r="Z28" s="17"/>
      <c r="AA28" s="18"/>
      <c r="AB28" s="18"/>
      <c r="AC28" s="17"/>
      <c r="AD28" s="17"/>
      <c r="AE28" s="17"/>
      <c r="AF28" s="17"/>
      <c r="AG28" s="17"/>
      <c r="AH28" s="18"/>
    </row>
    <row r="29" spans="1:34" x14ac:dyDescent="0.45">
      <c r="A29" s="8" t="s">
        <v>136</v>
      </c>
      <c r="B29" s="8" t="s">
        <v>137</v>
      </c>
      <c r="D29" s="17"/>
      <c r="E29" s="17"/>
      <c r="F29" s="18"/>
      <c r="G29" s="18"/>
      <c r="H29" s="17"/>
      <c r="I29" s="17"/>
      <c r="J29" s="17"/>
      <c r="K29" s="17"/>
      <c r="L29" s="17"/>
      <c r="M29" s="18"/>
      <c r="N29" s="18"/>
      <c r="O29" s="17"/>
      <c r="P29" s="17"/>
      <c r="Q29" s="17"/>
      <c r="R29" s="17"/>
      <c r="S29" s="17"/>
      <c r="T29" s="18"/>
      <c r="U29" s="18"/>
      <c r="V29" s="17"/>
      <c r="W29" s="17"/>
      <c r="X29" s="17"/>
      <c r="Y29" s="17"/>
      <c r="Z29" s="17"/>
      <c r="AA29" s="18"/>
      <c r="AB29" s="18"/>
      <c r="AC29" s="17"/>
      <c r="AD29" s="17"/>
      <c r="AE29" s="17"/>
      <c r="AF29" s="17"/>
      <c r="AG29" s="17"/>
      <c r="AH29" s="18"/>
    </row>
    <row r="30" spans="1:34" x14ac:dyDescent="0.45">
      <c r="A30" s="8" t="s">
        <v>136</v>
      </c>
      <c r="B30" s="8" t="s">
        <v>138</v>
      </c>
      <c r="D30" s="17"/>
      <c r="E30" s="17"/>
      <c r="F30" s="18"/>
      <c r="G30" s="18"/>
      <c r="H30" s="17"/>
      <c r="I30" s="17"/>
      <c r="J30" s="17"/>
      <c r="K30" s="17"/>
      <c r="L30" s="17"/>
      <c r="M30" s="18"/>
      <c r="N30" s="18"/>
      <c r="O30" s="17"/>
      <c r="P30" s="17"/>
      <c r="Q30" s="17"/>
      <c r="R30" s="17"/>
      <c r="S30" s="17"/>
      <c r="T30" s="18"/>
      <c r="U30" s="18"/>
      <c r="V30" s="17"/>
      <c r="W30" s="17"/>
      <c r="X30" s="17"/>
      <c r="Y30" s="17"/>
      <c r="Z30" s="17"/>
      <c r="AA30" s="18"/>
      <c r="AB30" s="18"/>
      <c r="AC30" s="17"/>
      <c r="AD30" s="17"/>
      <c r="AE30" s="17"/>
      <c r="AF30" s="17"/>
      <c r="AG30" s="17"/>
      <c r="AH30" s="18"/>
    </row>
    <row r="31" spans="1:34" x14ac:dyDescent="0.45">
      <c r="A31" s="8" t="s">
        <v>139</v>
      </c>
      <c r="B31" s="8" t="s">
        <v>140</v>
      </c>
      <c r="D31" s="17"/>
      <c r="E31" s="17"/>
      <c r="F31" s="18"/>
      <c r="G31" s="18"/>
      <c r="H31" s="17"/>
      <c r="I31" s="17"/>
      <c r="J31" s="17"/>
      <c r="K31" s="17"/>
      <c r="L31" s="17"/>
      <c r="M31" s="18"/>
      <c r="N31" s="18"/>
      <c r="O31" s="17"/>
      <c r="P31" s="17"/>
      <c r="Q31" s="17"/>
      <c r="R31" s="17"/>
      <c r="S31" s="17"/>
      <c r="T31" s="18"/>
      <c r="U31" s="18"/>
      <c r="V31" s="17"/>
      <c r="W31" s="17"/>
      <c r="X31" s="17"/>
      <c r="Y31" s="17"/>
      <c r="Z31" s="17"/>
      <c r="AA31" s="18"/>
      <c r="AB31" s="18"/>
      <c r="AC31" s="17"/>
      <c r="AD31" s="17"/>
      <c r="AE31" s="17"/>
      <c r="AF31" s="17"/>
      <c r="AG31" s="17"/>
      <c r="AH31" s="18"/>
    </row>
    <row r="32" spans="1:34" x14ac:dyDescent="0.45">
      <c r="A32" s="8" t="s">
        <v>139</v>
      </c>
      <c r="B32" s="8" t="s">
        <v>141</v>
      </c>
      <c r="D32" s="17"/>
      <c r="E32" s="17"/>
      <c r="F32" s="18"/>
      <c r="G32" s="18"/>
      <c r="H32" s="17"/>
      <c r="I32" s="17"/>
      <c r="J32" s="17"/>
      <c r="K32" s="17"/>
      <c r="L32" s="17"/>
      <c r="M32" s="18"/>
      <c r="N32" s="18"/>
      <c r="O32" s="17"/>
      <c r="P32" s="17"/>
      <c r="Q32" s="17"/>
      <c r="R32" s="17"/>
      <c r="S32" s="17"/>
      <c r="T32" s="18"/>
      <c r="U32" s="18"/>
      <c r="V32" s="17"/>
      <c r="W32" s="17"/>
      <c r="X32" s="17"/>
      <c r="Y32" s="17"/>
      <c r="Z32" s="17"/>
      <c r="AA32" s="18"/>
      <c r="AB32" s="18"/>
      <c r="AC32" s="17"/>
      <c r="AD32" s="17"/>
      <c r="AE32" s="17"/>
      <c r="AF32" s="17"/>
      <c r="AG32" s="17"/>
      <c r="AH32" s="18"/>
    </row>
    <row r="33" spans="1:34" x14ac:dyDescent="0.45">
      <c r="A33" s="8" t="s">
        <v>139</v>
      </c>
      <c r="B33" s="8" t="s">
        <v>142</v>
      </c>
      <c r="D33" s="17"/>
      <c r="E33" s="17"/>
      <c r="F33" s="18"/>
      <c r="G33" s="18"/>
      <c r="H33" s="17"/>
      <c r="I33" s="17"/>
      <c r="J33" s="17"/>
      <c r="K33" s="17"/>
      <c r="L33" s="17"/>
      <c r="M33" s="18"/>
      <c r="N33" s="18"/>
      <c r="O33" s="17"/>
      <c r="P33" s="17"/>
      <c r="Q33" s="17"/>
      <c r="R33" s="17"/>
      <c r="S33" s="17"/>
      <c r="T33" s="18"/>
      <c r="U33" s="18"/>
      <c r="V33" s="17"/>
      <c r="W33" s="17"/>
      <c r="X33" s="17"/>
      <c r="Y33" s="17"/>
      <c r="Z33" s="17"/>
      <c r="AA33" s="18"/>
      <c r="AB33" s="18"/>
      <c r="AC33" s="17"/>
      <c r="AD33" s="17"/>
      <c r="AE33" s="17"/>
      <c r="AF33" s="17"/>
      <c r="AG33" s="17"/>
      <c r="AH33" s="18"/>
    </row>
    <row r="34" spans="1:34" x14ac:dyDescent="0.45">
      <c r="A34" s="8" t="s">
        <v>139</v>
      </c>
      <c r="B34" s="8" t="s">
        <v>143</v>
      </c>
      <c r="D34" s="17"/>
      <c r="E34" s="17"/>
      <c r="F34" s="18"/>
      <c r="G34" s="18"/>
      <c r="H34" s="17"/>
      <c r="I34" s="17"/>
      <c r="J34" s="17"/>
      <c r="K34" s="17"/>
      <c r="L34" s="17"/>
      <c r="M34" s="18"/>
      <c r="N34" s="18"/>
      <c r="O34" s="17"/>
      <c r="P34" s="17"/>
      <c r="Q34" s="17"/>
      <c r="R34" s="17"/>
      <c r="S34" s="17"/>
      <c r="T34" s="18"/>
      <c r="U34" s="18"/>
      <c r="V34" s="17"/>
      <c r="W34" s="17"/>
      <c r="X34" s="17"/>
      <c r="Y34" s="17"/>
      <c r="Z34" s="17"/>
      <c r="AA34" s="18"/>
      <c r="AB34" s="18"/>
      <c r="AC34" s="17"/>
      <c r="AD34" s="17"/>
      <c r="AE34" s="17"/>
      <c r="AF34" s="17"/>
      <c r="AG34" s="17"/>
      <c r="AH34" s="18"/>
    </row>
    <row r="35" spans="1:34" x14ac:dyDescent="0.45">
      <c r="A35" s="8" t="s">
        <v>144</v>
      </c>
      <c r="B35" s="8" t="s">
        <v>145</v>
      </c>
      <c r="D35" s="17"/>
      <c r="E35" s="17"/>
      <c r="F35" s="18"/>
      <c r="G35" s="18"/>
      <c r="H35" s="17"/>
      <c r="I35" s="17"/>
      <c r="J35" s="17"/>
      <c r="K35" s="17"/>
      <c r="L35" s="17"/>
      <c r="M35" s="18"/>
      <c r="N35" s="18"/>
      <c r="O35" s="17"/>
      <c r="P35" s="17"/>
      <c r="Q35" s="17"/>
      <c r="R35" s="17"/>
      <c r="S35" s="17"/>
      <c r="T35" s="18"/>
      <c r="U35" s="18"/>
      <c r="V35" s="17"/>
      <c r="W35" s="17"/>
      <c r="X35" s="17"/>
      <c r="Y35" s="17"/>
      <c r="Z35" s="17"/>
      <c r="AA35" s="18"/>
      <c r="AB35" s="18"/>
      <c r="AC35" s="17"/>
      <c r="AD35" s="17"/>
      <c r="AE35" s="17"/>
      <c r="AF35" s="17"/>
      <c r="AG35" s="17"/>
      <c r="AH35" s="18"/>
    </row>
    <row r="36" spans="1:34" x14ac:dyDescent="0.45">
      <c r="A36" s="8" t="s">
        <v>144</v>
      </c>
      <c r="B36" s="8" t="s">
        <v>146</v>
      </c>
      <c r="D36" s="17"/>
      <c r="E36" s="17"/>
      <c r="F36" s="18"/>
      <c r="G36" s="18"/>
      <c r="H36" s="17"/>
      <c r="I36" s="17"/>
      <c r="J36" s="17"/>
      <c r="K36" s="17"/>
      <c r="L36" s="17"/>
      <c r="M36" s="18"/>
      <c r="N36" s="18"/>
      <c r="O36" s="17"/>
      <c r="P36" s="17"/>
      <c r="Q36" s="17"/>
      <c r="R36" s="17"/>
      <c r="S36" s="17"/>
      <c r="T36" s="18"/>
      <c r="U36" s="18"/>
      <c r="V36" s="17"/>
      <c r="W36" s="17"/>
      <c r="X36" s="17"/>
      <c r="Y36" s="17"/>
      <c r="Z36" s="17"/>
      <c r="AA36" s="18"/>
      <c r="AB36" s="18"/>
      <c r="AC36" s="17"/>
      <c r="AD36" s="17"/>
      <c r="AE36" s="17"/>
      <c r="AF36" s="17"/>
      <c r="AG36" s="17"/>
      <c r="AH36" s="18"/>
    </row>
    <row r="37" spans="1:34" x14ac:dyDescent="0.45">
      <c r="A37" s="8" t="s">
        <v>144</v>
      </c>
      <c r="B37" s="8" t="s">
        <v>147</v>
      </c>
      <c r="D37" s="17"/>
      <c r="E37" s="17"/>
      <c r="F37" s="18"/>
      <c r="G37" s="18"/>
      <c r="H37" s="17"/>
      <c r="I37" s="17"/>
      <c r="J37" s="17"/>
      <c r="K37" s="17"/>
      <c r="L37" s="17"/>
      <c r="M37" s="18"/>
      <c r="N37" s="18"/>
      <c r="O37" s="17"/>
      <c r="P37" s="17"/>
      <c r="Q37" s="17"/>
      <c r="R37" s="17"/>
      <c r="S37" s="17"/>
      <c r="T37" s="18"/>
      <c r="U37" s="18"/>
      <c r="V37" s="17"/>
      <c r="W37" s="17"/>
      <c r="X37" s="17"/>
      <c r="Y37" s="17"/>
      <c r="Z37" s="17"/>
      <c r="AA37" s="18"/>
      <c r="AB37" s="18"/>
      <c r="AC37" s="17"/>
      <c r="AD37" s="17"/>
      <c r="AE37" s="17"/>
      <c r="AF37" s="17"/>
      <c r="AG37" s="17"/>
      <c r="AH37" s="18"/>
    </row>
    <row r="38" spans="1:34" x14ac:dyDescent="0.45">
      <c r="A38" s="8" t="s">
        <v>144</v>
      </c>
      <c r="B38" s="8" t="s">
        <v>148</v>
      </c>
      <c r="D38" s="17"/>
      <c r="E38" s="17"/>
      <c r="F38" s="18"/>
      <c r="G38" s="18"/>
      <c r="H38" s="17"/>
      <c r="I38" s="17"/>
      <c r="J38" s="17"/>
      <c r="K38" s="17"/>
      <c r="L38" s="17"/>
      <c r="M38" s="18"/>
      <c r="N38" s="18"/>
      <c r="O38" s="17"/>
      <c r="P38" s="17"/>
      <c r="Q38" s="17"/>
      <c r="R38" s="17"/>
      <c r="S38" s="17"/>
      <c r="T38" s="18"/>
      <c r="U38" s="18"/>
      <c r="V38" s="17"/>
      <c r="W38" s="17"/>
      <c r="X38" s="17"/>
      <c r="Y38" s="17"/>
      <c r="Z38" s="17"/>
      <c r="AA38" s="18"/>
      <c r="AB38" s="18"/>
      <c r="AC38" s="17"/>
      <c r="AD38" s="17"/>
      <c r="AE38" s="17"/>
      <c r="AF38" s="17"/>
      <c r="AG38" s="17"/>
      <c r="AH38" s="18"/>
    </row>
    <row r="39" spans="1:34" x14ac:dyDescent="0.45">
      <c r="A39" s="8" t="s">
        <v>149</v>
      </c>
      <c r="B39" s="8" t="s">
        <v>150</v>
      </c>
      <c r="D39" s="17"/>
      <c r="E39" s="17"/>
      <c r="F39" s="18"/>
      <c r="G39" s="18"/>
      <c r="H39" s="17"/>
      <c r="I39" s="17"/>
      <c r="J39" s="17"/>
      <c r="K39" s="17"/>
      <c r="L39" s="17"/>
      <c r="M39" s="18"/>
      <c r="N39" s="18"/>
      <c r="O39" s="17"/>
      <c r="P39" s="17"/>
      <c r="Q39" s="17"/>
      <c r="R39" s="17"/>
      <c r="S39" s="17"/>
      <c r="T39" s="18"/>
      <c r="U39" s="18"/>
      <c r="V39" s="17"/>
      <c r="W39" s="17"/>
      <c r="X39" s="17"/>
      <c r="Y39" s="17"/>
      <c r="Z39" s="17"/>
      <c r="AA39" s="18"/>
      <c r="AB39" s="18"/>
      <c r="AC39" s="17"/>
      <c r="AD39" s="17"/>
      <c r="AE39" s="17"/>
      <c r="AF39" s="17"/>
      <c r="AG39" s="17"/>
      <c r="AH39" s="18"/>
    </row>
    <row r="40" spans="1:34" x14ac:dyDescent="0.45">
      <c r="A40" s="8" t="s">
        <v>149</v>
      </c>
      <c r="B40" s="8" t="s">
        <v>151</v>
      </c>
      <c r="D40" s="17"/>
      <c r="E40" s="17"/>
      <c r="F40" s="18"/>
      <c r="G40" s="18"/>
      <c r="H40" s="17"/>
      <c r="I40" s="17"/>
      <c r="J40" s="17"/>
      <c r="K40" s="17"/>
      <c r="L40" s="17"/>
      <c r="M40" s="18"/>
      <c r="N40" s="18"/>
      <c r="O40" s="17"/>
      <c r="P40" s="17"/>
      <c r="Q40" s="17"/>
      <c r="R40" s="17"/>
      <c r="S40" s="17"/>
      <c r="T40" s="18"/>
      <c r="U40" s="18"/>
      <c r="V40" s="17"/>
      <c r="W40" s="17"/>
      <c r="X40" s="17"/>
      <c r="Y40" s="17"/>
      <c r="Z40" s="17"/>
      <c r="AA40" s="18"/>
      <c r="AB40" s="18"/>
      <c r="AC40" s="17"/>
      <c r="AD40" s="17"/>
      <c r="AE40" s="17"/>
      <c r="AF40" s="17"/>
      <c r="AG40" s="17"/>
      <c r="AH40" s="18"/>
    </row>
    <row r="41" spans="1:34" x14ac:dyDescent="0.45">
      <c r="A41" s="8" t="s">
        <v>149</v>
      </c>
      <c r="B41" s="8" t="s">
        <v>152</v>
      </c>
      <c r="D41" s="17"/>
      <c r="E41" s="17"/>
      <c r="F41" s="18"/>
      <c r="G41" s="18"/>
      <c r="H41" s="17"/>
      <c r="I41" s="17"/>
      <c r="J41" s="17"/>
      <c r="K41" s="17"/>
      <c r="L41" s="17"/>
      <c r="M41" s="18"/>
      <c r="N41" s="18"/>
      <c r="O41" s="17"/>
      <c r="P41" s="17"/>
      <c r="Q41" s="17"/>
      <c r="R41" s="17"/>
      <c r="S41" s="17"/>
      <c r="T41" s="18"/>
      <c r="U41" s="18"/>
      <c r="V41" s="17"/>
      <c r="W41" s="17"/>
      <c r="X41" s="17"/>
      <c r="Y41" s="17"/>
      <c r="Z41" s="17"/>
      <c r="AA41" s="18"/>
      <c r="AB41" s="18"/>
      <c r="AC41" s="17"/>
      <c r="AD41" s="17"/>
      <c r="AE41" s="17"/>
      <c r="AF41" s="17"/>
      <c r="AG41" s="17"/>
      <c r="AH41" s="18"/>
    </row>
    <row r="42" spans="1:34" x14ac:dyDescent="0.45">
      <c r="A42" s="8" t="s">
        <v>149</v>
      </c>
      <c r="B42" s="8" t="s">
        <v>153</v>
      </c>
      <c r="D42" s="17"/>
      <c r="E42" s="17"/>
      <c r="F42" s="18"/>
      <c r="G42" s="18"/>
      <c r="H42" s="17"/>
      <c r="I42" s="17"/>
      <c r="J42" s="17"/>
      <c r="K42" s="17"/>
      <c r="L42" s="17"/>
      <c r="M42" s="18"/>
      <c r="N42" s="18"/>
      <c r="O42" s="17"/>
      <c r="P42" s="17"/>
      <c r="Q42" s="17"/>
      <c r="R42" s="17"/>
      <c r="S42" s="17"/>
      <c r="T42" s="18"/>
      <c r="U42" s="18"/>
      <c r="V42" s="17"/>
      <c r="W42" s="17"/>
      <c r="X42" s="17"/>
      <c r="Y42" s="17"/>
      <c r="Z42" s="17"/>
      <c r="AA42" s="18"/>
      <c r="AB42" s="18"/>
      <c r="AC42" s="17"/>
      <c r="AD42" s="17"/>
      <c r="AE42" s="17"/>
      <c r="AF42" s="17"/>
      <c r="AG42" s="17"/>
      <c r="AH42" s="18"/>
    </row>
    <row r="43" spans="1:34" x14ac:dyDescent="0.45">
      <c r="A43" s="8" t="s">
        <v>149</v>
      </c>
      <c r="B43" s="8" t="s">
        <v>154</v>
      </c>
      <c r="D43" s="17"/>
      <c r="E43" s="17"/>
      <c r="F43" s="18"/>
      <c r="G43" s="18"/>
      <c r="H43" s="17"/>
      <c r="I43" s="17"/>
      <c r="J43" s="17"/>
      <c r="K43" s="17"/>
      <c r="L43" s="17"/>
      <c r="M43" s="18"/>
      <c r="N43" s="18"/>
      <c r="O43" s="17"/>
      <c r="P43" s="17"/>
      <c r="Q43" s="17"/>
      <c r="R43" s="17"/>
      <c r="S43" s="17"/>
      <c r="T43" s="18"/>
      <c r="U43" s="18"/>
      <c r="V43" s="17"/>
      <c r="W43" s="17"/>
      <c r="X43" s="17"/>
      <c r="Y43" s="17"/>
      <c r="Z43" s="17"/>
      <c r="AA43" s="18"/>
      <c r="AB43" s="18"/>
      <c r="AC43" s="17"/>
      <c r="AD43" s="17"/>
      <c r="AE43" s="17"/>
      <c r="AF43" s="17"/>
      <c r="AG43" s="17"/>
      <c r="AH43" s="18"/>
    </row>
    <row r="44" spans="1:34" x14ac:dyDescent="0.45">
      <c r="A44" s="8" t="s">
        <v>155</v>
      </c>
      <c r="B44" s="8" t="s">
        <v>156</v>
      </c>
      <c r="D44" s="17"/>
      <c r="E44" s="17"/>
      <c r="F44" s="18"/>
      <c r="G44" s="18"/>
      <c r="H44" s="17"/>
      <c r="I44" s="17"/>
      <c r="J44" s="17"/>
      <c r="K44" s="17"/>
      <c r="L44" s="17"/>
      <c r="M44" s="18"/>
      <c r="N44" s="18"/>
      <c r="O44" s="17"/>
      <c r="P44" s="17"/>
      <c r="Q44" s="17"/>
      <c r="R44" s="17"/>
      <c r="S44" s="17"/>
      <c r="T44" s="18"/>
      <c r="U44" s="18"/>
      <c r="V44" s="17"/>
      <c r="W44" s="17"/>
      <c r="X44" s="17"/>
      <c r="Y44" s="17"/>
      <c r="Z44" s="17"/>
      <c r="AA44" s="18"/>
      <c r="AB44" s="18"/>
      <c r="AC44" s="17"/>
      <c r="AD44" s="17"/>
      <c r="AE44" s="17"/>
      <c r="AF44" s="17"/>
      <c r="AG44" s="17"/>
      <c r="AH44" s="18"/>
    </row>
    <row r="45" spans="1:34" x14ac:dyDescent="0.45">
      <c r="A45" s="8" t="s">
        <v>155</v>
      </c>
      <c r="B45" s="8" t="s">
        <v>157</v>
      </c>
      <c r="D45" s="17"/>
      <c r="E45" s="17"/>
      <c r="F45" s="18"/>
      <c r="G45" s="18"/>
      <c r="H45" s="17"/>
      <c r="I45" s="17"/>
      <c r="J45" s="17"/>
      <c r="K45" s="17"/>
      <c r="L45" s="17"/>
      <c r="M45" s="18"/>
      <c r="N45" s="18"/>
      <c r="O45" s="17"/>
      <c r="P45" s="17"/>
      <c r="Q45" s="17"/>
      <c r="R45" s="17"/>
      <c r="S45" s="17"/>
      <c r="T45" s="18"/>
      <c r="U45" s="18"/>
      <c r="V45" s="17"/>
      <c r="W45" s="17"/>
      <c r="X45" s="17"/>
      <c r="Y45" s="17"/>
      <c r="Z45" s="17"/>
      <c r="AA45" s="18"/>
      <c r="AB45" s="18"/>
      <c r="AC45" s="17"/>
      <c r="AD45" s="17"/>
      <c r="AE45" s="17"/>
      <c r="AF45" s="17"/>
      <c r="AG45" s="17"/>
      <c r="AH45" s="18"/>
    </row>
    <row r="46" spans="1:34" x14ac:dyDescent="0.45">
      <c r="A46" s="8" t="s">
        <v>158</v>
      </c>
      <c r="B46" s="8" t="s">
        <v>159</v>
      </c>
      <c r="D46" s="17"/>
      <c r="E46" s="17"/>
      <c r="F46" s="18"/>
      <c r="G46" s="18"/>
      <c r="H46" s="17"/>
      <c r="I46" s="17"/>
      <c r="J46" s="17"/>
      <c r="K46" s="17"/>
      <c r="L46" s="17"/>
      <c r="M46" s="18"/>
      <c r="N46" s="18"/>
      <c r="O46" s="17"/>
      <c r="P46" s="17"/>
      <c r="Q46" s="17"/>
      <c r="R46" s="17"/>
      <c r="S46" s="17"/>
      <c r="T46" s="18"/>
      <c r="U46" s="18"/>
      <c r="V46" s="17"/>
      <c r="W46" s="17"/>
      <c r="X46" s="17"/>
      <c r="Y46" s="17"/>
      <c r="Z46" s="17"/>
      <c r="AA46" s="18"/>
      <c r="AB46" s="18"/>
      <c r="AC46" s="17"/>
      <c r="AD46" s="17"/>
      <c r="AE46" s="17"/>
      <c r="AF46" s="17"/>
      <c r="AG46" s="17"/>
      <c r="AH46" s="18"/>
    </row>
    <row r="47" spans="1:34" x14ac:dyDescent="0.45">
      <c r="A47" s="8" t="s">
        <v>158</v>
      </c>
      <c r="B47" s="8" t="s">
        <v>160</v>
      </c>
      <c r="D47" s="17"/>
      <c r="E47" s="17"/>
      <c r="F47" s="18"/>
      <c r="G47" s="18"/>
      <c r="H47" s="17"/>
      <c r="I47" s="17"/>
      <c r="J47" s="17"/>
      <c r="K47" s="17"/>
      <c r="L47" s="17"/>
      <c r="M47" s="18"/>
      <c r="N47" s="18"/>
      <c r="O47" s="17"/>
      <c r="P47" s="17"/>
      <c r="Q47" s="17"/>
      <c r="R47" s="17"/>
      <c r="S47" s="17"/>
      <c r="T47" s="18"/>
      <c r="U47" s="18"/>
      <c r="V47" s="17"/>
      <c r="W47" s="17"/>
      <c r="X47" s="17"/>
      <c r="Y47" s="17"/>
      <c r="Z47" s="17"/>
      <c r="AA47" s="18"/>
      <c r="AB47" s="18"/>
      <c r="AC47" s="17"/>
      <c r="AD47" s="17"/>
      <c r="AE47" s="17"/>
      <c r="AF47" s="17"/>
      <c r="AG47" s="17"/>
      <c r="AH47" s="18"/>
    </row>
    <row r="48" spans="1:34" x14ac:dyDescent="0.45">
      <c r="A48" s="8" t="s">
        <v>158</v>
      </c>
      <c r="B48" s="8" t="s">
        <v>161</v>
      </c>
      <c r="D48" s="17"/>
      <c r="E48" s="17"/>
      <c r="F48" s="18"/>
      <c r="G48" s="18"/>
      <c r="H48" s="17"/>
      <c r="I48" s="17"/>
      <c r="J48" s="17"/>
      <c r="K48" s="17"/>
      <c r="L48" s="17"/>
      <c r="M48" s="18"/>
      <c r="N48" s="18"/>
      <c r="O48" s="17"/>
      <c r="P48" s="17"/>
      <c r="Q48" s="17"/>
      <c r="R48" s="17"/>
      <c r="S48" s="17"/>
      <c r="T48" s="18"/>
      <c r="U48" s="18"/>
      <c r="V48" s="17"/>
      <c r="W48" s="17"/>
      <c r="X48" s="17"/>
      <c r="Y48" s="17"/>
      <c r="Z48" s="17"/>
      <c r="AA48" s="18"/>
      <c r="AB48" s="18"/>
      <c r="AC48" s="17"/>
      <c r="AD48" s="17"/>
      <c r="AE48" s="17"/>
      <c r="AF48" s="17"/>
      <c r="AG48" s="17"/>
      <c r="AH48" s="18"/>
    </row>
    <row r="49" spans="1:34" x14ac:dyDescent="0.45">
      <c r="A49" s="7" t="s">
        <v>162</v>
      </c>
      <c r="D49" s="19">
        <f t="shared" ref="D49:AH49" si="0">SUM(D6:D48)</f>
        <v>0</v>
      </c>
      <c r="E49" s="19">
        <f t="shared" si="0"/>
        <v>0</v>
      </c>
      <c r="F49" s="19">
        <f t="shared" si="0"/>
        <v>0</v>
      </c>
      <c r="G49" s="19">
        <f t="shared" si="0"/>
        <v>0</v>
      </c>
      <c r="H49" s="19">
        <f t="shared" si="0"/>
        <v>0</v>
      </c>
      <c r="I49" s="19">
        <f t="shared" si="0"/>
        <v>0</v>
      </c>
      <c r="J49" s="19">
        <f t="shared" si="0"/>
        <v>0</v>
      </c>
      <c r="K49" s="19">
        <f t="shared" si="0"/>
        <v>0</v>
      </c>
      <c r="L49" s="19">
        <f t="shared" si="0"/>
        <v>0</v>
      </c>
      <c r="M49" s="19">
        <f t="shared" si="0"/>
        <v>0</v>
      </c>
      <c r="N49" s="19">
        <f t="shared" si="0"/>
        <v>0</v>
      </c>
      <c r="O49" s="19">
        <f t="shared" si="0"/>
        <v>0</v>
      </c>
      <c r="P49" s="19">
        <f t="shared" si="0"/>
        <v>0</v>
      </c>
      <c r="Q49" s="19">
        <f t="shared" si="0"/>
        <v>0</v>
      </c>
      <c r="R49" s="19">
        <f t="shared" si="0"/>
        <v>0</v>
      </c>
      <c r="S49" s="19">
        <f t="shared" si="0"/>
        <v>0</v>
      </c>
      <c r="T49" s="19">
        <f t="shared" si="0"/>
        <v>0</v>
      </c>
      <c r="U49" s="19">
        <f t="shared" si="0"/>
        <v>0</v>
      </c>
      <c r="V49" s="19">
        <f t="shared" si="0"/>
        <v>0</v>
      </c>
      <c r="W49" s="19">
        <f t="shared" si="0"/>
        <v>0</v>
      </c>
      <c r="X49" s="19">
        <f t="shared" si="0"/>
        <v>0</v>
      </c>
      <c r="Y49" s="19">
        <f t="shared" si="0"/>
        <v>0</v>
      </c>
      <c r="Z49" s="19">
        <f t="shared" si="0"/>
        <v>0</v>
      </c>
      <c r="AA49" s="19">
        <f t="shared" si="0"/>
        <v>0</v>
      </c>
      <c r="AB49" s="19">
        <f t="shared" si="0"/>
        <v>0</v>
      </c>
      <c r="AC49" s="19">
        <f t="shared" si="0"/>
        <v>0</v>
      </c>
      <c r="AD49" s="19">
        <f t="shared" si="0"/>
        <v>0</v>
      </c>
      <c r="AE49" s="19">
        <f t="shared" si="0"/>
        <v>0</v>
      </c>
      <c r="AF49" s="19">
        <f t="shared" si="0"/>
        <v>0</v>
      </c>
      <c r="AG49" s="19">
        <f t="shared" si="0"/>
        <v>0</v>
      </c>
      <c r="AH49" s="19">
        <f t="shared" si="0"/>
        <v>0</v>
      </c>
    </row>
  </sheetData>
  <dataValidations count="1">
    <dataValidation type="whole" operator="greaterThanOrEqual" sqref="D6:AH48" xr:uid="{00000000-0002-0000-03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1"/>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25" x14ac:dyDescent="0.45"/>
  <cols>
    <col min="1" max="1" width="11" customWidth="1"/>
    <col min="2" max="2" width="24" customWidth="1"/>
    <col min="3" max="4" width="9" customWidth="1"/>
    <col min="5" max="5" width="11" customWidth="1"/>
    <col min="6" max="8" width="9" customWidth="1"/>
    <col min="9" max="9" width="10" customWidth="1"/>
  </cols>
  <sheetData>
    <row r="1" spans="1:9" ht="17.649999999999999" x14ac:dyDescent="0.5">
      <c r="A1" s="5" t="str">
        <f>"Tableau du jour : "&amp;TEXT(INDEX(Paramètres!$B$5:$AF$5,Paramètres!$B$10),"dd/mm/yyyy")</f>
        <v>Tableau du jour : 01/10/2026</v>
      </c>
    </row>
    <row r="2" spans="1:9" x14ac:dyDescent="0.45">
      <c r="A2" s="6" t="s">
        <v>164</v>
      </c>
    </row>
    <row r="3" spans="1:9" x14ac:dyDescent="0.45">
      <c r="A3" s="7" t="s">
        <v>165</v>
      </c>
      <c r="C3" s="20" t="str">
        <f>IF(INDEX('Calcul quotidien'!$D$96:$AH$96,Paramètres!$B$10)="","Personne n'a atteint son objectif",INDEX('Calcul quotidien'!$D$96:$AH$96,Paramètres!$B$10))</f>
        <v>Personne n'a atteint son objectif</v>
      </c>
      <c r="F3" s="6" t="str">
        <f>IF(INDEX(Paramètres!$B$7:$AF$7,Paramètres!$B$10)=0,"Jour non ouvré : pas de prime journalière","")</f>
        <v/>
      </c>
    </row>
    <row r="5" spans="1:9" ht="30" customHeight="1" x14ac:dyDescent="0.45">
      <c r="A5" s="14" t="s">
        <v>73</v>
      </c>
      <c r="B5" s="14" t="s">
        <v>74</v>
      </c>
      <c r="C5" s="14" t="s">
        <v>166</v>
      </c>
      <c r="D5" s="14" t="s">
        <v>167</v>
      </c>
      <c r="E5" s="14" t="s">
        <v>168</v>
      </c>
      <c r="F5" s="14" t="s">
        <v>169</v>
      </c>
      <c r="G5" s="14" t="s">
        <v>170</v>
      </c>
      <c r="H5" s="14" t="s">
        <v>171</v>
      </c>
      <c r="I5" s="14" t="s">
        <v>172</v>
      </c>
    </row>
    <row r="6" spans="1:9" x14ac:dyDescent="0.45">
      <c r="A6" s="21" t="str">
        <f>'Suivi Agents'!A6</f>
        <v>YANKEE</v>
      </c>
      <c r="B6" s="21" t="str">
        <f>'Suivi Agents'!B6</f>
        <v>pms_rgz_tosee.ftth</v>
      </c>
      <c r="C6" s="22">
        <f>'Suivi Agents'!G6</f>
        <v>2</v>
      </c>
      <c r="D6" s="21">
        <f>INDEX('Calcul quotidien'!$D6:$AH6,Paramètres!$B$10)</f>
        <v>0</v>
      </c>
      <c r="E6" s="21" t="str">
        <f>IF('Suivi Agents'!F6=0,"",IF(D6&gt;=C6,"Oui","Non"))</f>
        <v>Non</v>
      </c>
      <c r="F6" s="21">
        <f>'Suivi Agents'!K6</f>
        <v>0</v>
      </c>
      <c r="G6" s="21">
        <f>'Suivi Agents'!F6</f>
        <v>44</v>
      </c>
      <c r="H6" s="23">
        <f>'Suivi Agents'!L6</f>
        <v>0</v>
      </c>
      <c r="I6" s="23">
        <f>'Suivi Agents'!N6</f>
        <v>0</v>
      </c>
    </row>
    <row r="7" spans="1:9" x14ac:dyDescent="0.45">
      <c r="A7" s="21" t="str">
        <f>'Suivi Agents'!A7</f>
        <v>YANKEE</v>
      </c>
      <c r="B7" s="21" t="str">
        <f>'Suivi Agents'!B7</f>
        <v>pvt_rgz_mfrancois.ftth</v>
      </c>
      <c r="C7" s="22">
        <f>'Suivi Agents'!G7</f>
        <v>1.5909090909090908</v>
      </c>
      <c r="D7" s="21">
        <f>INDEX('Calcul quotidien'!$D7:$AH7,Paramètres!$B$10)</f>
        <v>0</v>
      </c>
      <c r="E7" s="21" t="str">
        <f>IF('Suivi Agents'!F7=0,"",IF(D7&gt;=C7,"Oui","Non"))</f>
        <v>Non</v>
      </c>
      <c r="F7" s="21">
        <f>'Suivi Agents'!K7</f>
        <v>0</v>
      </c>
      <c r="G7" s="21">
        <f>'Suivi Agents'!F7</f>
        <v>35</v>
      </c>
      <c r="H7" s="23">
        <f>'Suivi Agents'!L7</f>
        <v>0</v>
      </c>
      <c r="I7" s="23">
        <f>'Suivi Agents'!N7</f>
        <v>0</v>
      </c>
    </row>
    <row r="8" spans="1:9" x14ac:dyDescent="0.45">
      <c r="A8" s="21" t="str">
        <f>'Suivi Agents'!A8</f>
        <v>YANKEE</v>
      </c>
      <c r="B8" s="21" t="str">
        <f>'Suivi Agents'!B8</f>
        <v>pvt_rgz_fadji.ftth</v>
      </c>
      <c r="C8" s="22">
        <f>'Suivi Agents'!G8</f>
        <v>1.5454545454545454</v>
      </c>
      <c r="D8" s="21">
        <f>INDEX('Calcul quotidien'!$D8:$AH8,Paramètres!$B$10)</f>
        <v>0</v>
      </c>
      <c r="E8" s="21" t="str">
        <f>IF('Suivi Agents'!F8=0,"",IF(D8&gt;=C8,"Oui","Non"))</f>
        <v>Non</v>
      </c>
      <c r="F8" s="21">
        <f>'Suivi Agents'!K8</f>
        <v>0</v>
      </c>
      <c r="G8" s="21">
        <f>'Suivi Agents'!F8</f>
        <v>34</v>
      </c>
      <c r="H8" s="23">
        <f>'Suivi Agents'!L8</f>
        <v>0</v>
      </c>
      <c r="I8" s="23">
        <f>'Suivi Agents'!N8</f>
        <v>0</v>
      </c>
    </row>
    <row r="9" spans="1:9" x14ac:dyDescent="0.45">
      <c r="A9" s="21" t="str">
        <f>'Suivi Agents'!A9</f>
        <v>YANKEE</v>
      </c>
      <c r="B9" s="21" t="str">
        <f>'Suivi Agents'!B9</f>
        <v>pvt_rgz_dcharmelie.ftth</v>
      </c>
      <c r="C9" s="22">
        <f>'Suivi Agents'!G9</f>
        <v>1.2727272727272727</v>
      </c>
      <c r="D9" s="21">
        <f>INDEX('Calcul quotidien'!$D9:$AH9,Paramètres!$B$10)</f>
        <v>0</v>
      </c>
      <c r="E9" s="21" t="str">
        <f>IF('Suivi Agents'!F9=0,"",IF(D9&gt;=C9,"Oui","Non"))</f>
        <v>Non</v>
      </c>
      <c r="F9" s="21">
        <f>'Suivi Agents'!K9</f>
        <v>0</v>
      </c>
      <c r="G9" s="21">
        <f>'Suivi Agents'!F9</f>
        <v>28</v>
      </c>
      <c r="H9" s="23">
        <f>'Suivi Agents'!L9</f>
        <v>0</v>
      </c>
      <c r="I9" s="23">
        <f>'Suivi Agents'!N9</f>
        <v>0</v>
      </c>
    </row>
    <row r="10" spans="1:9" x14ac:dyDescent="0.45">
      <c r="A10" s="21" t="str">
        <f>'Suivi Agents'!A10</f>
        <v>YANKEE</v>
      </c>
      <c r="B10" s="21" t="str">
        <f>'Suivi Agents'!B10</f>
        <v>pvt_rgz_gkohla.ftth</v>
      </c>
      <c r="C10" s="22">
        <f>'Suivi Agents'!G10</f>
        <v>1.6363636363636365</v>
      </c>
      <c r="D10" s="21">
        <f>INDEX('Calcul quotidien'!$D10:$AH10,Paramètres!$B$10)</f>
        <v>0</v>
      </c>
      <c r="E10" s="21" t="str">
        <f>IF('Suivi Agents'!F10=0,"",IF(D10&gt;=C10,"Oui","Non"))</f>
        <v>Non</v>
      </c>
      <c r="F10" s="21">
        <f>'Suivi Agents'!K10</f>
        <v>0</v>
      </c>
      <c r="G10" s="21">
        <f>'Suivi Agents'!F10</f>
        <v>36</v>
      </c>
      <c r="H10" s="23">
        <f>'Suivi Agents'!L10</f>
        <v>0</v>
      </c>
      <c r="I10" s="23">
        <f>'Suivi Agents'!N10</f>
        <v>0</v>
      </c>
    </row>
    <row r="11" spans="1:9" x14ac:dyDescent="0.45">
      <c r="A11" s="21" t="str">
        <f>'Suivi Agents'!A11</f>
        <v>YANKEE</v>
      </c>
      <c r="B11" s="21" t="str">
        <f>'Suivi Agents'!B11</f>
        <v>pvt_rgz_rclotoe.ftth</v>
      </c>
      <c r="C11" s="22">
        <f>'Suivi Agents'!G11</f>
        <v>1.3636363636363635</v>
      </c>
      <c r="D11" s="21">
        <f>INDEX('Calcul quotidien'!$D11:$AH11,Paramètres!$B$10)</f>
        <v>0</v>
      </c>
      <c r="E11" s="21" t="str">
        <f>IF('Suivi Agents'!F11=0,"",IF(D11&gt;=C11,"Oui","Non"))</f>
        <v>Non</v>
      </c>
      <c r="F11" s="21">
        <f>'Suivi Agents'!K11</f>
        <v>0</v>
      </c>
      <c r="G11" s="21">
        <f>'Suivi Agents'!F11</f>
        <v>30</v>
      </c>
      <c r="H11" s="23">
        <f>'Suivi Agents'!L11</f>
        <v>0</v>
      </c>
      <c r="I11" s="23">
        <f>'Suivi Agents'!N11</f>
        <v>0</v>
      </c>
    </row>
    <row r="12" spans="1:9" x14ac:dyDescent="0.45">
      <c r="A12" s="21" t="str">
        <f>'Suivi Agents'!A12</f>
        <v>YANKEE</v>
      </c>
      <c r="B12" s="21" t="str">
        <f>'Suivi Agents'!B12</f>
        <v>pvt_rgz_aconstant.ftth</v>
      </c>
      <c r="C12" s="22">
        <f>'Suivi Agents'!G12</f>
        <v>1.1363636363636365</v>
      </c>
      <c r="D12" s="21">
        <f>INDEX('Calcul quotidien'!$D12:$AH12,Paramètres!$B$10)</f>
        <v>0</v>
      </c>
      <c r="E12" s="21" t="str">
        <f>IF('Suivi Agents'!F12=0,"",IF(D12&gt;=C12,"Oui","Non"))</f>
        <v>Non</v>
      </c>
      <c r="F12" s="21">
        <f>'Suivi Agents'!K12</f>
        <v>0</v>
      </c>
      <c r="G12" s="21">
        <f>'Suivi Agents'!F12</f>
        <v>25</v>
      </c>
      <c r="H12" s="23">
        <f>'Suivi Agents'!L12</f>
        <v>0</v>
      </c>
      <c r="I12" s="23">
        <f>'Suivi Agents'!N12</f>
        <v>0</v>
      </c>
    </row>
    <row r="13" spans="1:9" x14ac:dyDescent="0.45">
      <c r="A13" s="21" t="str">
        <f>'Suivi Agents'!A13</f>
        <v>YANKEE</v>
      </c>
      <c r="B13" s="21" t="str">
        <f>'Suivi Agents'!B13</f>
        <v>pvt_rgz_cmessinou.ftth</v>
      </c>
      <c r="C13" s="22">
        <f>'Suivi Agents'!G13</f>
        <v>1.0454545454545454</v>
      </c>
      <c r="D13" s="21">
        <f>INDEX('Calcul quotidien'!$D13:$AH13,Paramètres!$B$10)</f>
        <v>0</v>
      </c>
      <c r="E13" s="21" t="str">
        <f>IF('Suivi Agents'!F13=0,"",IF(D13&gt;=C13,"Oui","Non"))</f>
        <v>Non</v>
      </c>
      <c r="F13" s="21">
        <f>'Suivi Agents'!K13</f>
        <v>0</v>
      </c>
      <c r="G13" s="21">
        <f>'Suivi Agents'!F13</f>
        <v>23</v>
      </c>
      <c r="H13" s="23">
        <f>'Suivi Agents'!L13</f>
        <v>0</v>
      </c>
      <c r="I13" s="23">
        <f>'Suivi Agents'!N13</f>
        <v>0</v>
      </c>
    </row>
    <row r="14" spans="1:9" x14ac:dyDescent="0.45">
      <c r="A14" s="21" t="str">
        <f>'Suivi Agents'!A14</f>
        <v>YANKEE</v>
      </c>
      <c r="B14" s="21" t="str">
        <f>'Suivi Agents'!B14</f>
        <v>pvt_rgz_lsenakpon.ftth</v>
      </c>
      <c r="C14" s="22">
        <f>'Suivi Agents'!G14</f>
        <v>1.8181818181818181</v>
      </c>
      <c r="D14" s="21">
        <f>INDEX('Calcul quotidien'!$D14:$AH14,Paramètres!$B$10)</f>
        <v>0</v>
      </c>
      <c r="E14" s="21" t="str">
        <f>IF('Suivi Agents'!F14=0,"",IF(D14&gt;=C14,"Oui","Non"))</f>
        <v>Non</v>
      </c>
      <c r="F14" s="21">
        <f>'Suivi Agents'!K14</f>
        <v>0</v>
      </c>
      <c r="G14" s="21">
        <f>'Suivi Agents'!F14</f>
        <v>40</v>
      </c>
      <c r="H14" s="23">
        <f>'Suivi Agents'!L14</f>
        <v>0</v>
      </c>
      <c r="I14" s="23">
        <f>'Suivi Agents'!N14</f>
        <v>0</v>
      </c>
    </row>
    <row r="15" spans="1:9" x14ac:dyDescent="0.45">
      <c r="A15" s="21" t="str">
        <f>'Suivi Agents'!A15</f>
        <v>YANKEE</v>
      </c>
      <c r="B15" s="21" t="str">
        <f>'Suivi Agents'!B15</f>
        <v>pvt_rgz_tletitia.ftth</v>
      </c>
      <c r="C15" s="22">
        <f>'Suivi Agents'!G15</f>
        <v>0.90909090909090906</v>
      </c>
      <c r="D15" s="21">
        <f>INDEX('Calcul quotidien'!$D15:$AH15,Paramètres!$B$10)</f>
        <v>0</v>
      </c>
      <c r="E15" s="21" t="str">
        <f>IF('Suivi Agents'!F15=0,"",IF(D15&gt;=C15,"Oui","Non"))</f>
        <v>Non</v>
      </c>
      <c r="F15" s="21">
        <f>'Suivi Agents'!K15</f>
        <v>0</v>
      </c>
      <c r="G15" s="21">
        <f>'Suivi Agents'!F15</f>
        <v>20</v>
      </c>
      <c r="H15" s="23">
        <f>'Suivi Agents'!L15</f>
        <v>0</v>
      </c>
      <c r="I15" s="23">
        <f>'Suivi Agents'!N15</f>
        <v>0</v>
      </c>
    </row>
    <row r="16" spans="1:9" x14ac:dyDescent="0.45">
      <c r="A16" s="21" t="str">
        <f>'Suivi Agents'!A16</f>
        <v>YANKEE</v>
      </c>
      <c r="B16" s="21" t="str">
        <f>'Suivi Agents'!B16</f>
        <v>pvt_rgz_dalexis.ftth</v>
      </c>
      <c r="C16" s="22">
        <f>'Suivi Agents'!G16</f>
        <v>0.68181818181818177</v>
      </c>
      <c r="D16" s="21">
        <f>INDEX('Calcul quotidien'!$D16:$AH16,Paramètres!$B$10)</f>
        <v>0</v>
      </c>
      <c r="E16" s="21" t="str">
        <f>IF('Suivi Agents'!F16=0,"",IF(D16&gt;=C16,"Oui","Non"))</f>
        <v>Non</v>
      </c>
      <c r="F16" s="21">
        <f>'Suivi Agents'!K16</f>
        <v>0</v>
      </c>
      <c r="G16" s="21">
        <f>'Suivi Agents'!F16</f>
        <v>15</v>
      </c>
      <c r="H16" s="23">
        <f>'Suivi Agents'!L16</f>
        <v>0</v>
      </c>
      <c r="I16" s="23">
        <f>'Suivi Agents'!N16</f>
        <v>0</v>
      </c>
    </row>
    <row r="17" spans="1:9" x14ac:dyDescent="0.45">
      <c r="A17" s="21" t="str">
        <f>'Suivi Agents'!A17</f>
        <v>YANKEE</v>
      </c>
      <c r="B17" s="21" t="str">
        <f>'Suivi Agents'!B17</f>
        <v>pvt_rgz_eulisse.ftth</v>
      </c>
      <c r="C17" s="22">
        <f>'Suivi Agents'!G17</f>
        <v>0.45454545454545453</v>
      </c>
      <c r="D17" s="21">
        <f>INDEX('Calcul quotidien'!$D17:$AH17,Paramètres!$B$10)</f>
        <v>0</v>
      </c>
      <c r="E17" s="21" t="str">
        <f>IF('Suivi Agents'!F17=0,"",IF(D17&gt;=C17,"Oui","Non"))</f>
        <v>Non</v>
      </c>
      <c r="F17" s="21">
        <f>'Suivi Agents'!K17</f>
        <v>0</v>
      </c>
      <c r="G17" s="21">
        <f>'Suivi Agents'!F17</f>
        <v>10</v>
      </c>
      <c r="H17" s="23">
        <f>'Suivi Agents'!L17</f>
        <v>0</v>
      </c>
      <c r="I17" s="23">
        <f>'Suivi Agents'!N17</f>
        <v>0</v>
      </c>
    </row>
    <row r="18" spans="1:9" x14ac:dyDescent="0.45">
      <c r="A18" s="21" t="str">
        <f>'Suivi Agents'!A18</f>
        <v>YANKEE</v>
      </c>
      <c r="B18" s="21" t="str">
        <f>'Suivi Agents'!B18</f>
        <v>pvt_rgz_hgilles.ftth</v>
      </c>
      <c r="C18" s="22">
        <f>'Suivi Agents'!G18</f>
        <v>0</v>
      </c>
      <c r="D18" s="21">
        <f>INDEX('Calcul quotidien'!$D18:$AH18,Paramètres!$B$10)</f>
        <v>0</v>
      </c>
      <c r="E18" s="21" t="str">
        <f>IF('Suivi Agents'!F18=0,"",IF(D18&gt;=C18,"Oui","Non"))</f>
        <v/>
      </c>
      <c r="F18" s="21">
        <f>'Suivi Agents'!K18</f>
        <v>0</v>
      </c>
      <c r="G18" s="21">
        <f>'Suivi Agents'!F18</f>
        <v>0</v>
      </c>
      <c r="H18" s="23" t="str">
        <f>'Suivi Agents'!L18</f>
        <v/>
      </c>
      <c r="I18" s="23" t="str">
        <f>'Suivi Agents'!N18</f>
        <v/>
      </c>
    </row>
    <row r="19" spans="1:9" x14ac:dyDescent="0.45">
      <c r="A19" s="21" t="str">
        <f>'Suivi Agents'!A19</f>
        <v>ALPHA</v>
      </c>
      <c r="B19" s="21" t="str">
        <f>'Suivi Agents'!B19</f>
        <v>pms_rgz_tgloria.ftth</v>
      </c>
      <c r="C19" s="22">
        <f>'Suivi Agents'!G19</f>
        <v>2.4090909090909092</v>
      </c>
      <c r="D19" s="21">
        <f>INDEX('Calcul quotidien'!$D19:$AH19,Paramètres!$B$10)</f>
        <v>0</v>
      </c>
      <c r="E19" s="21" t="str">
        <f>IF('Suivi Agents'!F19=0,"",IF(D19&gt;=C19,"Oui","Non"))</f>
        <v>Non</v>
      </c>
      <c r="F19" s="21">
        <f>'Suivi Agents'!K19</f>
        <v>0</v>
      </c>
      <c r="G19" s="21">
        <f>'Suivi Agents'!F19</f>
        <v>53</v>
      </c>
      <c r="H19" s="23">
        <f>'Suivi Agents'!L19</f>
        <v>0</v>
      </c>
      <c r="I19" s="23">
        <f>'Suivi Agents'!N19</f>
        <v>0</v>
      </c>
    </row>
    <row r="20" spans="1:9" x14ac:dyDescent="0.45">
      <c r="A20" s="21" t="str">
        <f>'Suivi Agents'!A20</f>
        <v>ALPHA</v>
      </c>
      <c r="B20" s="21" t="str">
        <f>'Suivi Agents'!B20</f>
        <v>pms_rgz_dconstant.ftth</v>
      </c>
      <c r="C20" s="22">
        <f>'Suivi Agents'!G20</f>
        <v>1.3181818181818181</v>
      </c>
      <c r="D20" s="21">
        <f>INDEX('Calcul quotidien'!$D20:$AH20,Paramètres!$B$10)</f>
        <v>0</v>
      </c>
      <c r="E20" s="21" t="str">
        <f>IF('Suivi Agents'!F20=0,"",IF(D20&gt;=C20,"Oui","Non"))</f>
        <v>Non</v>
      </c>
      <c r="F20" s="21">
        <f>'Suivi Agents'!K20</f>
        <v>0</v>
      </c>
      <c r="G20" s="21">
        <f>'Suivi Agents'!F20</f>
        <v>29</v>
      </c>
      <c r="H20" s="23">
        <f>'Suivi Agents'!L20</f>
        <v>0</v>
      </c>
      <c r="I20" s="23">
        <f>'Suivi Agents'!N20</f>
        <v>0</v>
      </c>
    </row>
    <row r="21" spans="1:9" x14ac:dyDescent="0.45">
      <c r="A21" s="21" t="str">
        <f>'Suivi Agents'!A21</f>
        <v>ALPHA</v>
      </c>
      <c r="B21" s="21" t="str">
        <f>'Suivi Agents'!B21</f>
        <v>pvt_rgz_bboris.ftth</v>
      </c>
      <c r="C21" s="22">
        <f>'Suivi Agents'!G21</f>
        <v>0.81818181818181823</v>
      </c>
      <c r="D21" s="21">
        <f>INDEX('Calcul quotidien'!$D21:$AH21,Paramètres!$B$10)</f>
        <v>0</v>
      </c>
      <c r="E21" s="21" t="str">
        <f>IF('Suivi Agents'!F21=0,"",IF(D21&gt;=C21,"Oui","Non"))</f>
        <v>Non</v>
      </c>
      <c r="F21" s="21">
        <f>'Suivi Agents'!K21</f>
        <v>0</v>
      </c>
      <c r="G21" s="21">
        <f>'Suivi Agents'!F21</f>
        <v>18</v>
      </c>
      <c r="H21" s="23">
        <f>'Suivi Agents'!L21</f>
        <v>0</v>
      </c>
      <c r="I21" s="23">
        <f>'Suivi Agents'!N21</f>
        <v>0</v>
      </c>
    </row>
    <row r="22" spans="1:9" x14ac:dyDescent="0.45">
      <c r="A22" s="21" t="str">
        <f>'Suivi Agents'!A22</f>
        <v>TANGO</v>
      </c>
      <c r="B22" s="21" t="str">
        <f>'Suivi Agents'!B22</f>
        <v>pvt_rgz_dthibaut.ftth</v>
      </c>
      <c r="C22" s="22">
        <f>'Suivi Agents'!G22</f>
        <v>2.8181818181818183</v>
      </c>
      <c r="D22" s="21">
        <f>INDEX('Calcul quotidien'!$D22:$AH22,Paramètres!$B$10)</f>
        <v>0</v>
      </c>
      <c r="E22" s="21" t="str">
        <f>IF('Suivi Agents'!F22=0,"",IF(D22&gt;=C22,"Oui","Non"))</f>
        <v>Non</v>
      </c>
      <c r="F22" s="21">
        <f>'Suivi Agents'!K22</f>
        <v>0</v>
      </c>
      <c r="G22" s="21">
        <f>'Suivi Agents'!F22</f>
        <v>62</v>
      </c>
      <c r="H22" s="23">
        <f>'Suivi Agents'!L22</f>
        <v>0</v>
      </c>
      <c r="I22" s="23">
        <f>'Suivi Agents'!N22</f>
        <v>0</v>
      </c>
    </row>
    <row r="23" spans="1:9" x14ac:dyDescent="0.45">
      <c r="A23" s="21" t="str">
        <f>'Suivi Agents'!A23</f>
        <v>TANGO</v>
      </c>
      <c r="B23" s="21" t="str">
        <f>'Suivi Agents'!B23</f>
        <v>pms_rgz_hfrancine.ftth</v>
      </c>
      <c r="C23" s="22">
        <f>'Suivi Agents'!G23</f>
        <v>2.2727272727272729</v>
      </c>
      <c r="D23" s="21">
        <f>INDEX('Calcul quotidien'!$D23:$AH23,Paramètres!$B$10)</f>
        <v>0</v>
      </c>
      <c r="E23" s="21" t="str">
        <f>IF('Suivi Agents'!F23=0,"",IF(D23&gt;=C23,"Oui","Non"))</f>
        <v>Non</v>
      </c>
      <c r="F23" s="21">
        <f>'Suivi Agents'!K23</f>
        <v>0</v>
      </c>
      <c r="G23" s="21">
        <f>'Suivi Agents'!F23</f>
        <v>50</v>
      </c>
      <c r="H23" s="23">
        <f>'Suivi Agents'!L23</f>
        <v>0</v>
      </c>
      <c r="I23" s="23">
        <f>'Suivi Agents'!N23</f>
        <v>0</v>
      </c>
    </row>
    <row r="24" spans="1:9" x14ac:dyDescent="0.45">
      <c r="A24" s="21" t="str">
        <f>'Suivi Agents'!A24</f>
        <v>TANGO</v>
      </c>
      <c r="B24" s="21" t="str">
        <f>'Suivi Agents'!B24</f>
        <v>pvt_rgz_wdiane.ftth</v>
      </c>
      <c r="C24" s="22">
        <f>'Suivi Agents'!G24</f>
        <v>2.3181818181818183</v>
      </c>
      <c r="D24" s="21">
        <f>INDEX('Calcul quotidien'!$D24:$AH24,Paramètres!$B$10)</f>
        <v>0</v>
      </c>
      <c r="E24" s="21" t="str">
        <f>IF('Suivi Agents'!F24=0,"",IF(D24&gt;=C24,"Oui","Non"))</f>
        <v>Non</v>
      </c>
      <c r="F24" s="21">
        <f>'Suivi Agents'!K24</f>
        <v>0</v>
      </c>
      <c r="G24" s="21">
        <f>'Suivi Agents'!F24</f>
        <v>51</v>
      </c>
      <c r="H24" s="23">
        <f>'Suivi Agents'!L24</f>
        <v>0</v>
      </c>
      <c r="I24" s="23">
        <f>'Suivi Agents'!N24</f>
        <v>0</v>
      </c>
    </row>
    <row r="25" spans="1:9" x14ac:dyDescent="0.45">
      <c r="A25" s="21" t="str">
        <f>'Suivi Agents'!A25</f>
        <v>TANGO</v>
      </c>
      <c r="B25" s="21" t="str">
        <f>'Suivi Agents'!B25</f>
        <v>pvt_rgz_gsahoui.ftth</v>
      </c>
      <c r="C25" s="22">
        <f>'Suivi Agents'!G25</f>
        <v>2.1363636363636362</v>
      </c>
      <c r="D25" s="21">
        <f>INDEX('Calcul quotidien'!$D25:$AH25,Paramètres!$B$10)</f>
        <v>0</v>
      </c>
      <c r="E25" s="21" t="str">
        <f>IF('Suivi Agents'!F25=0,"",IF(D25&gt;=C25,"Oui","Non"))</f>
        <v>Non</v>
      </c>
      <c r="F25" s="21">
        <f>'Suivi Agents'!K25</f>
        <v>0</v>
      </c>
      <c r="G25" s="21">
        <f>'Suivi Agents'!F25</f>
        <v>47</v>
      </c>
      <c r="H25" s="23">
        <f>'Suivi Agents'!L25</f>
        <v>0</v>
      </c>
      <c r="I25" s="23">
        <f>'Suivi Agents'!N25</f>
        <v>0</v>
      </c>
    </row>
    <row r="26" spans="1:9" x14ac:dyDescent="0.45">
      <c r="A26" s="21" t="str">
        <f>'Suivi Agents'!A26</f>
        <v>ZULU</v>
      </c>
      <c r="B26" s="21" t="str">
        <f>'Suivi Agents'!B26</f>
        <v>pvt-rgz-olouis.ftth</v>
      </c>
      <c r="C26" s="22">
        <f>'Suivi Agents'!G26</f>
        <v>2.7272727272727271</v>
      </c>
      <c r="D26" s="21">
        <f>INDEX('Calcul quotidien'!$D26:$AH26,Paramètres!$B$10)</f>
        <v>0</v>
      </c>
      <c r="E26" s="21" t="str">
        <f>IF('Suivi Agents'!F26=0,"",IF(D26&gt;=C26,"Oui","Non"))</f>
        <v>Non</v>
      </c>
      <c r="F26" s="21">
        <f>'Suivi Agents'!K26</f>
        <v>0</v>
      </c>
      <c r="G26" s="21">
        <f>'Suivi Agents'!F26</f>
        <v>60</v>
      </c>
      <c r="H26" s="23">
        <f>'Suivi Agents'!L26</f>
        <v>0</v>
      </c>
      <c r="I26" s="23">
        <f>'Suivi Agents'!N26</f>
        <v>0</v>
      </c>
    </row>
    <row r="27" spans="1:9" x14ac:dyDescent="0.45">
      <c r="A27" s="21" t="str">
        <f>'Suivi Agents'!A27</f>
        <v>ZULU</v>
      </c>
      <c r="B27" s="21" t="str">
        <f>'Suivi Agents'!B27</f>
        <v>pvt_rgz_ahugues.ftth</v>
      </c>
      <c r="C27" s="22">
        <f>'Suivi Agents'!G27</f>
        <v>2.7272727272727271</v>
      </c>
      <c r="D27" s="21">
        <f>INDEX('Calcul quotidien'!$D27:$AH27,Paramètres!$B$10)</f>
        <v>0</v>
      </c>
      <c r="E27" s="21" t="str">
        <f>IF('Suivi Agents'!F27=0,"",IF(D27&gt;=C27,"Oui","Non"))</f>
        <v>Non</v>
      </c>
      <c r="F27" s="21">
        <f>'Suivi Agents'!K27</f>
        <v>0</v>
      </c>
      <c r="G27" s="21">
        <f>'Suivi Agents'!F27</f>
        <v>60</v>
      </c>
      <c r="H27" s="23">
        <f>'Suivi Agents'!L27</f>
        <v>0</v>
      </c>
      <c r="I27" s="23">
        <f>'Suivi Agents'!N27</f>
        <v>0</v>
      </c>
    </row>
    <row r="28" spans="1:9" x14ac:dyDescent="0.45">
      <c r="A28" s="21" t="str">
        <f>'Suivi Agents'!A28</f>
        <v>ZULU</v>
      </c>
      <c r="B28" s="21" t="str">
        <f>'Suivi Agents'!B28</f>
        <v>pvt_rgz_adidier.ftth</v>
      </c>
      <c r="C28" s="22">
        <f>'Suivi Agents'!G28</f>
        <v>0</v>
      </c>
      <c r="D28" s="21">
        <f>INDEX('Calcul quotidien'!$D28:$AH28,Paramètres!$B$10)</f>
        <v>0</v>
      </c>
      <c r="E28" s="21" t="str">
        <f>IF('Suivi Agents'!F28=0,"",IF(D28&gt;=C28,"Oui","Non"))</f>
        <v/>
      </c>
      <c r="F28" s="21">
        <f>'Suivi Agents'!K28</f>
        <v>0</v>
      </c>
      <c r="G28" s="21">
        <f>'Suivi Agents'!F28</f>
        <v>0</v>
      </c>
      <c r="H28" s="23" t="str">
        <f>'Suivi Agents'!L28</f>
        <v/>
      </c>
      <c r="I28" s="23" t="str">
        <f>'Suivi Agents'!N28</f>
        <v/>
      </c>
    </row>
    <row r="29" spans="1:9" x14ac:dyDescent="0.45">
      <c r="A29" s="21" t="str">
        <f>'Suivi Agents'!A29</f>
        <v>CHARLIE</v>
      </c>
      <c r="B29" s="21" t="str">
        <f>'Suivi Agents'!B29</f>
        <v>pms_rgz_wmarius.ftth</v>
      </c>
      <c r="C29" s="22">
        <f>'Suivi Agents'!G29</f>
        <v>2.0454545454545454</v>
      </c>
      <c r="D29" s="21">
        <f>INDEX('Calcul quotidien'!$D29:$AH29,Paramètres!$B$10)</f>
        <v>0</v>
      </c>
      <c r="E29" s="21" t="str">
        <f>IF('Suivi Agents'!F29=0,"",IF(D29&gt;=C29,"Oui","Non"))</f>
        <v>Non</v>
      </c>
      <c r="F29" s="21">
        <f>'Suivi Agents'!K29</f>
        <v>0</v>
      </c>
      <c r="G29" s="21">
        <f>'Suivi Agents'!F29</f>
        <v>45</v>
      </c>
      <c r="H29" s="23">
        <f>'Suivi Agents'!L29</f>
        <v>0</v>
      </c>
      <c r="I29" s="23">
        <f>'Suivi Agents'!N29</f>
        <v>0</v>
      </c>
    </row>
    <row r="30" spans="1:9" x14ac:dyDescent="0.45">
      <c r="A30" s="21" t="str">
        <f>'Suivi Agents'!A30</f>
        <v>CHARLIE</v>
      </c>
      <c r="B30" s="21" t="str">
        <f>'Suivi Agents'!B30</f>
        <v>pvt_rgz_tsylvia.ftth</v>
      </c>
      <c r="C30" s="22">
        <f>'Suivi Agents'!G30</f>
        <v>1.5909090909090908</v>
      </c>
      <c r="D30" s="21">
        <f>INDEX('Calcul quotidien'!$D30:$AH30,Paramètres!$B$10)</f>
        <v>0</v>
      </c>
      <c r="E30" s="21" t="str">
        <f>IF('Suivi Agents'!F30=0,"",IF(D30&gt;=C30,"Oui","Non"))</f>
        <v>Non</v>
      </c>
      <c r="F30" s="21">
        <f>'Suivi Agents'!K30</f>
        <v>0</v>
      </c>
      <c r="G30" s="21">
        <f>'Suivi Agents'!F30</f>
        <v>35</v>
      </c>
      <c r="H30" s="23">
        <f>'Suivi Agents'!L30</f>
        <v>0</v>
      </c>
      <c r="I30" s="23">
        <f>'Suivi Agents'!N30</f>
        <v>0</v>
      </c>
    </row>
    <row r="31" spans="1:9" x14ac:dyDescent="0.45">
      <c r="A31" s="21" t="str">
        <f>'Suivi Agents'!A31</f>
        <v>MIKE</v>
      </c>
      <c r="B31" s="21" t="str">
        <f>'Suivi Agents'!B31</f>
        <v>pvt_rgz_oalain.ftth</v>
      </c>
      <c r="C31" s="22">
        <f>'Suivi Agents'!G31</f>
        <v>1.4090909090909092</v>
      </c>
      <c r="D31" s="21">
        <f>INDEX('Calcul quotidien'!$D31:$AH31,Paramètres!$B$10)</f>
        <v>0</v>
      </c>
      <c r="E31" s="21" t="str">
        <f>IF('Suivi Agents'!F31=0,"",IF(D31&gt;=C31,"Oui","Non"))</f>
        <v>Non</v>
      </c>
      <c r="F31" s="21">
        <f>'Suivi Agents'!K31</f>
        <v>0</v>
      </c>
      <c r="G31" s="21">
        <f>'Suivi Agents'!F31</f>
        <v>31</v>
      </c>
      <c r="H31" s="23">
        <f>'Suivi Agents'!L31</f>
        <v>0</v>
      </c>
      <c r="I31" s="23">
        <f>'Suivi Agents'!N31</f>
        <v>0</v>
      </c>
    </row>
    <row r="32" spans="1:9" x14ac:dyDescent="0.45">
      <c r="A32" s="21" t="str">
        <f>'Suivi Agents'!A32</f>
        <v>MIKE</v>
      </c>
      <c r="B32" s="21" t="str">
        <f>'Suivi Agents'!B32</f>
        <v>pvt_rgz_sulrich.ftth</v>
      </c>
      <c r="C32" s="22">
        <f>'Suivi Agents'!G32</f>
        <v>2.0454545454545454</v>
      </c>
      <c r="D32" s="21">
        <f>INDEX('Calcul quotidien'!$D32:$AH32,Paramètres!$B$10)</f>
        <v>0</v>
      </c>
      <c r="E32" s="21" t="str">
        <f>IF('Suivi Agents'!F32=0,"",IF(D32&gt;=C32,"Oui","Non"))</f>
        <v>Non</v>
      </c>
      <c r="F32" s="21">
        <f>'Suivi Agents'!K32</f>
        <v>0</v>
      </c>
      <c r="G32" s="21">
        <f>'Suivi Agents'!F32</f>
        <v>45</v>
      </c>
      <c r="H32" s="23">
        <f>'Suivi Agents'!L32</f>
        <v>0</v>
      </c>
      <c r="I32" s="23">
        <f>'Suivi Agents'!N32</f>
        <v>0</v>
      </c>
    </row>
    <row r="33" spans="1:9" x14ac:dyDescent="0.45">
      <c r="A33" s="21" t="str">
        <f>'Suivi Agents'!A33</f>
        <v>MIKE</v>
      </c>
      <c r="B33" s="21" t="str">
        <f>'Suivi Agents'!B33</f>
        <v>pvt_rgz_hderrick.ftth</v>
      </c>
      <c r="C33" s="22">
        <f>'Suivi Agents'!G33</f>
        <v>1.4545454545454546</v>
      </c>
      <c r="D33" s="21">
        <f>INDEX('Calcul quotidien'!$D33:$AH33,Paramètres!$B$10)</f>
        <v>0</v>
      </c>
      <c r="E33" s="21" t="str">
        <f>IF('Suivi Agents'!F33=0,"",IF(D33&gt;=C33,"Oui","Non"))</f>
        <v>Non</v>
      </c>
      <c r="F33" s="21">
        <f>'Suivi Agents'!K33</f>
        <v>0</v>
      </c>
      <c r="G33" s="21">
        <f>'Suivi Agents'!F33</f>
        <v>32</v>
      </c>
      <c r="H33" s="23">
        <f>'Suivi Agents'!L33</f>
        <v>0</v>
      </c>
      <c r="I33" s="23">
        <f>'Suivi Agents'!N33</f>
        <v>0</v>
      </c>
    </row>
    <row r="34" spans="1:9" x14ac:dyDescent="0.45">
      <c r="A34" s="21" t="str">
        <f>'Suivi Agents'!A34</f>
        <v>MIKE</v>
      </c>
      <c r="B34" s="21" t="str">
        <f>'Suivi Agents'!B34</f>
        <v>pms_rgz_kromeo.ftth</v>
      </c>
      <c r="C34" s="22">
        <f>'Suivi Agents'!G34</f>
        <v>1</v>
      </c>
      <c r="D34" s="21">
        <f>INDEX('Calcul quotidien'!$D34:$AH34,Paramètres!$B$10)</f>
        <v>0</v>
      </c>
      <c r="E34" s="21" t="str">
        <f>IF('Suivi Agents'!F34=0,"",IF(D34&gt;=C34,"Oui","Non"))</f>
        <v>Non</v>
      </c>
      <c r="F34" s="21">
        <f>'Suivi Agents'!K34</f>
        <v>0</v>
      </c>
      <c r="G34" s="21">
        <f>'Suivi Agents'!F34</f>
        <v>22</v>
      </c>
      <c r="H34" s="23">
        <f>'Suivi Agents'!L34</f>
        <v>0</v>
      </c>
      <c r="I34" s="23">
        <f>'Suivi Agents'!N34</f>
        <v>0</v>
      </c>
    </row>
    <row r="35" spans="1:9" x14ac:dyDescent="0.45">
      <c r="A35" s="21" t="str">
        <f>'Suivi Agents'!A35</f>
        <v>ANONYMAT</v>
      </c>
      <c r="B35" s="21" t="str">
        <f>'Suivi Agents'!B35</f>
        <v>pvt_rgz_gprince.ftth</v>
      </c>
      <c r="C35" s="22">
        <f>'Suivi Agents'!G35</f>
        <v>1.5909090909090908</v>
      </c>
      <c r="D35" s="21">
        <f>INDEX('Calcul quotidien'!$D35:$AH35,Paramètres!$B$10)</f>
        <v>0</v>
      </c>
      <c r="E35" s="21" t="str">
        <f>IF('Suivi Agents'!F35=0,"",IF(D35&gt;=C35,"Oui","Non"))</f>
        <v>Non</v>
      </c>
      <c r="F35" s="21">
        <f>'Suivi Agents'!K35</f>
        <v>0</v>
      </c>
      <c r="G35" s="21">
        <f>'Suivi Agents'!F35</f>
        <v>35</v>
      </c>
      <c r="H35" s="23">
        <f>'Suivi Agents'!L35</f>
        <v>0</v>
      </c>
      <c r="I35" s="23">
        <f>'Suivi Agents'!N35</f>
        <v>0</v>
      </c>
    </row>
    <row r="36" spans="1:9" x14ac:dyDescent="0.45">
      <c r="A36" s="21" t="str">
        <f>'Suivi Agents'!A36</f>
        <v>ANONYMAT</v>
      </c>
      <c r="B36" s="21" t="str">
        <f>'Suivi Agents'!B36</f>
        <v>pvt_rgz_akoffi.ftth</v>
      </c>
      <c r="C36" s="22">
        <f>'Suivi Agents'!G36</f>
        <v>1.5909090909090908</v>
      </c>
      <c r="D36" s="21">
        <f>INDEX('Calcul quotidien'!$D36:$AH36,Paramètres!$B$10)</f>
        <v>0</v>
      </c>
      <c r="E36" s="21" t="str">
        <f>IF('Suivi Agents'!F36=0,"",IF(D36&gt;=C36,"Oui","Non"))</f>
        <v>Non</v>
      </c>
      <c r="F36" s="21">
        <f>'Suivi Agents'!K36</f>
        <v>0</v>
      </c>
      <c r="G36" s="21">
        <f>'Suivi Agents'!F36</f>
        <v>35</v>
      </c>
      <c r="H36" s="23">
        <f>'Suivi Agents'!L36</f>
        <v>0</v>
      </c>
      <c r="I36" s="23">
        <f>'Suivi Agents'!N36</f>
        <v>0</v>
      </c>
    </row>
    <row r="37" spans="1:9" x14ac:dyDescent="0.45">
      <c r="A37" s="21" t="str">
        <f>'Suivi Agents'!A37</f>
        <v>ANONYMAT</v>
      </c>
      <c r="B37" s="21" t="str">
        <f>'Suivi Agents'!B37</f>
        <v>pvt_rgz_agado.ftth</v>
      </c>
      <c r="C37" s="22">
        <f>'Suivi Agents'!G37</f>
        <v>1.5909090909090908</v>
      </c>
      <c r="D37" s="21">
        <f>INDEX('Calcul quotidien'!$D37:$AH37,Paramètres!$B$10)</f>
        <v>0</v>
      </c>
      <c r="E37" s="21" t="str">
        <f>IF('Suivi Agents'!F37=0,"",IF(D37&gt;=C37,"Oui","Non"))</f>
        <v>Non</v>
      </c>
      <c r="F37" s="21">
        <f>'Suivi Agents'!K37</f>
        <v>0</v>
      </c>
      <c r="G37" s="21">
        <f>'Suivi Agents'!F37</f>
        <v>35</v>
      </c>
      <c r="H37" s="23">
        <f>'Suivi Agents'!L37</f>
        <v>0</v>
      </c>
      <c r="I37" s="23">
        <f>'Suivi Agents'!N37</f>
        <v>0</v>
      </c>
    </row>
    <row r="38" spans="1:9" x14ac:dyDescent="0.45">
      <c r="A38" s="21" t="str">
        <f>'Suivi Agents'!A38</f>
        <v>ANONYMAT</v>
      </c>
      <c r="B38" s="21" t="str">
        <f>'Suivi Agents'!B38</f>
        <v>pvt_rgz_lcedric.ftth</v>
      </c>
      <c r="C38" s="22">
        <f>'Suivi Agents'!G38</f>
        <v>1.5909090909090908</v>
      </c>
      <c r="D38" s="21">
        <f>INDEX('Calcul quotidien'!$D38:$AH38,Paramètres!$B$10)</f>
        <v>0</v>
      </c>
      <c r="E38" s="21" t="str">
        <f>IF('Suivi Agents'!F38=0,"",IF(D38&gt;=C38,"Oui","Non"))</f>
        <v>Non</v>
      </c>
      <c r="F38" s="21">
        <f>'Suivi Agents'!K38</f>
        <v>0</v>
      </c>
      <c r="G38" s="21">
        <f>'Suivi Agents'!F38</f>
        <v>35</v>
      </c>
      <c r="H38" s="23">
        <f>'Suivi Agents'!L38</f>
        <v>0</v>
      </c>
      <c r="I38" s="23">
        <f>'Suivi Agents'!N38</f>
        <v>0</v>
      </c>
    </row>
    <row r="39" spans="1:9" x14ac:dyDescent="0.45">
      <c r="A39" s="21" t="str">
        <f>'Suivi Agents'!A39</f>
        <v>CONCORDE</v>
      </c>
      <c r="B39" s="21" t="str">
        <f>'Suivi Agents'!B39</f>
        <v>pvt_rgz_kbernadin.ftth</v>
      </c>
      <c r="C39" s="22">
        <f>'Suivi Agents'!G39</f>
        <v>1.8181818181818181</v>
      </c>
      <c r="D39" s="21">
        <f>INDEX('Calcul quotidien'!$D39:$AH39,Paramètres!$B$10)</f>
        <v>0</v>
      </c>
      <c r="E39" s="21" t="str">
        <f>IF('Suivi Agents'!F39=0,"",IF(D39&gt;=C39,"Oui","Non"))</f>
        <v>Non</v>
      </c>
      <c r="F39" s="21">
        <f>'Suivi Agents'!K39</f>
        <v>0</v>
      </c>
      <c r="G39" s="21">
        <f>'Suivi Agents'!F39</f>
        <v>40</v>
      </c>
      <c r="H39" s="23">
        <f>'Suivi Agents'!L39</f>
        <v>0</v>
      </c>
      <c r="I39" s="23">
        <f>'Suivi Agents'!N39</f>
        <v>0</v>
      </c>
    </row>
    <row r="40" spans="1:9" x14ac:dyDescent="0.45">
      <c r="A40" s="21" t="str">
        <f>'Suivi Agents'!A40</f>
        <v>CONCORDE</v>
      </c>
      <c r="B40" s="21" t="str">
        <f>'Suivi Agents'!B40</f>
        <v>pms_rgz_cmerveille.ftth</v>
      </c>
      <c r="C40" s="22">
        <f>'Suivi Agents'!G40</f>
        <v>1.4090909090909092</v>
      </c>
      <c r="D40" s="21">
        <f>INDEX('Calcul quotidien'!$D40:$AH40,Paramètres!$B$10)</f>
        <v>0</v>
      </c>
      <c r="E40" s="21" t="str">
        <f>IF('Suivi Agents'!F40=0,"",IF(D40&gt;=C40,"Oui","Non"))</f>
        <v>Non</v>
      </c>
      <c r="F40" s="21">
        <f>'Suivi Agents'!K40</f>
        <v>0</v>
      </c>
      <c r="G40" s="21">
        <f>'Suivi Agents'!F40</f>
        <v>31</v>
      </c>
      <c r="H40" s="23">
        <f>'Suivi Agents'!L40</f>
        <v>0</v>
      </c>
      <c r="I40" s="23">
        <f>'Suivi Agents'!N40</f>
        <v>0</v>
      </c>
    </row>
    <row r="41" spans="1:9" x14ac:dyDescent="0.45">
      <c r="A41" s="21" t="str">
        <f>'Suivi Agents'!A41</f>
        <v>CONCORDE</v>
      </c>
      <c r="B41" s="21" t="str">
        <f>'Suivi Agents'!B41</f>
        <v>pvt_rgz_kadebayo.ftth</v>
      </c>
      <c r="C41" s="22">
        <f>'Suivi Agents'!G41</f>
        <v>1.3181818181818181</v>
      </c>
      <c r="D41" s="21">
        <f>INDEX('Calcul quotidien'!$D41:$AH41,Paramètres!$B$10)</f>
        <v>0</v>
      </c>
      <c r="E41" s="21" t="str">
        <f>IF('Suivi Agents'!F41=0,"",IF(D41&gt;=C41,"Oui","Non"))</f>
        <v>Non</v>
      </c>
      <c r="F41" s="21">
        <f>'Suivi Agents'!K41</f>
        <v>0</v>
      </c>
      <c r="G41" s="21">
        <f>'Suivi Agents'!F41</f>
        <v>29</v>
      </c>
      <c r="H41" s="23">
        <f>'Suivi Agents'!L41</f>
        <v>0</v>
      </c>
      <c r="I41" s="23">
        <f>'Suivi Agents'!N41</f>
        <v>0</v>
      </c>
    </row>
    <row r="42" spans="1:9" x14ac:dyDescent="0.45">
      <c r="A42" s="21" t="str">
        <f>'Suivi Agents'!A42</f>
        <v>CONCORDE</v>
      </c>
      <c r="B42" s="21" t="str">
        <f>'Suivi Agents'!B42</f>
        <v>pms_rgz_abijou.ftth</v>
      </c>
      <c r="C42" s="22">
        <f>'Suivi Agents'!G42</f>
        <v>1.1818181818181819</v>
      </c>
      <c r="D42" s="21">
        <f>INDEX('Calcul quotidien'!$D42:$AH42,Paramètres!$B$10)</f>
        <v>0</v>
      </c>
      <c r="E42" s="21" t="str">
        <f>IF('Suivi Agents'!F42=0,"",IF(D42&gt;=C42,"Oui","Non"))</f>
        <v>Non</v>
      </c>
      <c r="F42" s="21">
        <f>'Suivi Agents'!K42</f>
        <v>0</v>
      </c>
      <c r="G42" s="21">
        <f>'Suivi Agents'!F42</f>
        <v>26</v>
      </c>
      <c r="H42" s="23">
        <f>'Suivi Agents'!L42</f>
        <v>0</v>
      </c>
      <c r="I42" s="23">
        <f>'Suivi Agents'!N42</f>
        <v>0</v>
      </c>
    </row>
    <row r="43" spans="1:9" x14ac:dyDescent="0.45">
      <c r="A43" s="21" t="str">
        <f>'Suivi Agents'!A43</f>
        <v>CONCORDE</v>
      </c>
      <c r="B43" s="21" t="str">
        <f>'Suivi Agents'!B43</f>
        <v>pms_rgz_svictor.ftth</v>
      </c>
      <c r="C43" s="22">
        <f>'Suivi Agents'!G43</f>
        <v>1.8636363636363635</v>
      </c>
      <c r="D43" s="21">
        <f>INDEX('Calcul quotidien'!$D43:$AH43,Paramètres!$B$10)</f>
        <v>0</v>
      </c>
      <c r="E43" s="21" t="str">
        <f>IF('Suivi Agents'!F43=0,"",IF(D43&gt;=C43,"Oui","Non"))</f>
        <v>Non</v>
      </c>
      <c r="F43" s="21">
        <f>'Suivi Agents'!K43</f>
        <v>0</v>
      </c>
      <c r="G43" s="21">
        <f>'Suivi Agents'!F43</f>
        <v>41</v>
      </c>
      <c r="H43" s="23">
        <f>'Suivi Agents'!L43</f>
        <v>0</v>
      </c>
      <c r="I43" s="23">
        <f>'Suivi Agents'!N43</f>
        <v>0</v>
      </c>
    </row>
    <row r="44" spans="1:9" x14ac:dyDescent="0.45">
      <c r="A44" s="21" t="str">
        <f>'Suivi Agents'!A44</f>
        <v>BRAVO</v>
      </c>
      <c r="B44" s="21" t="str">
        <f>'Suivi Agents'!B44</f>
        <v>pvt_rgz_afaoziath.ftth</v>
      </c>
      <c r="C44" s="22">
        <f>'Suivi Agents'!G44</f>
        <v>2.2727272727272729</v>
      </c>
      <c r="D44" s="21">
        <f>INDEX('Calcul quotidien'!$D44:$AH44,Paramètres!$B$10)</f>
        <v>0</v>
      </c>
      <c r="E44" s="21" t="str">
        <f>IF('Suivi Agents'!F44=0,"",IF(D44&gt;=C44,"Oui","Non"))</f>
        <v>Non</v>
      </c>
      <c r="F44" s="21">
        <f>'Suivi Agents'!K44</f>
        <v>0</v>
      </c>
      <c r="G44" s="21">
        <f>'Suivi Agents'!F44</f>
        <v>50</v>
      </c>
      <c r="H44" s="23">
        <f>'Suivi Agents'!L44</f>
        <v>0</v>
      </c>
      <c r="I44" s="23">
        <f>'Suivi Agents'!N44</f>
        <v>0</v>
      </c>
    </row>
    <row r="45" spans="1:9" x14ac:dyDescent="0.45">
      <c r="A45" s="21" t="str">
        <f>'Suivi Agents'!A45</f>
        <v>BRAVO</v>
      </c>
      <c r="B45" s="21" t="str">
        <f>'Suivi Agents'!B45</f>
        <v>pvt_rgz_lgrace.ftth</v>
      </c>
      <c r="C45" s="22">
        <f>'Suivi Agents'!G45</f>
        <v>2.2727272727272729</v>
      </c>
      <c r="D45" s="21">
        <f>INDEX('Calcul quotidien'!$D45:$AH45,Paramètres!$B$10)</f>
        <v>0</v>
      </c>
      <c r="E45" s="21" t="str">
        <f>IF('Suivi Agents'!F45=0,"",IF(D45&gt;=C45,"Oui","Non"))</f>
        <v>Non</v>
      </c>
      <c r="F45" s="21">
        <f>'Suivi Agents'!K45</f>
        <v>0</v>
      </c>
      <c r="G45" s="21">
        <f>'Suivi Agents'!F45</f>
        <v>50</v>
      </c>
      <c r="H45" s="23">
        <f>'Suivi Agents'!L45</f>
        <v>0</v>
      </c>
      <c r="I45" s="23">
        <f>'Suivi Agents'!N45</f>
        <v>0</v>
      </c>
    </row>
    <row r="46" spans="1:9" x14ac:dyDescent="0.45">
      <c r="A46" s="21" t="str">
        <f>'Suivi Agents'!A46</f>
        <v>OMEGA</v>
      </c>
      <c r="B46" s="21" t="str">
        <f>'Suivi Agents'!B46</f>
        <v>pvt_rgz_mvenceslas</v>
      </c>
      <c r="C46" s="22">
        <f>'Suivi Agents'!G46</f>
        <v>1.3636363636363635</v>
      </c>
      <c r="D46" s="21">
        <f>INDEX('Calcul quotidien'!$D46:$AH46,Paramètres!$B$10)</f>
        <v>0</v>
      </c>
      <c r="E46" s="21" t="str">
        <f>IF('Suivi Agents'!F46=0,"",IF(D46&gt;=C46,"Oui","Non"))</f>
        <v>Non</v>
      </c>
      <c r="F46" s="21">
        <f>'Suivi Agents'!K46</f>
        <v>0</v>
      </c>
      <c r="G46" s="21">
        <f>'Suivi Agents'!F46</f>
        <v>30</v>
      </c>
      <c r="H46" s="23">
        <f>'Suivi Agents'!L46</f>
        <v>0</v>
      </c>
      <c r="I46" s="23">
        <f>'Suivi Agents'!N46</f>
        <v>0</v>
      </c>
    </row>
    <row r="47" spans="1:9" x14ac:dyDescent="0.45">
      <c r="A47" s="21" t="str">
        <f>'Suivi Agents'!A47</f>
        <v>OMEGA</v>
      </c>
      <c r="B47" s="21" t="str">
        <f>'Suivi Agents'!B47</f>
        <v>pvt_rgz_amarcel</v>
      </c>
      <c r="C47" s="22">
        <f>'Suivi Agents'!G47</f>
        <v>1.8181818181818181</v>
      </c>
      <c r="D47" s="21">
        <f>INDEX('Calcul quotidien'!$D47:$AH47,Paramètres!$B$10)</f>
        <v>0</v>
      </c>
      <c r="E47" s="21" t="str">
        <f>IF('Suivi Agents'!F47=0,"",IF(D47&gt;=C47,"Oui","Non"))</f>
        <v>Non</v>
      </c>
      <c r="F47" s="21">
        <f>'Suivi Agents'!K47</f>
        <v>0</v>
      </c>
      <c r="G47" s="21">
        <f>'Suivi Agents'!F47</f>
        <v>40</v>
      </c>
      <c r="H47" s="23">
        <f>'Suivi Agents'!L47</f>
        <v>0</v>
      </c>
      <c r="I47" s="23">
        <f>'Suivi Agents'!N47</f>
        <v>0</v>
      </c>
    </row>
    <row r="48" spans="1:9" x14ac:dyDescent="0.45">
      <c r="A48" s="21" t="str">
        <f>'Suivi Agents'!A48</f>
        <v>OMEGA</v>
      </c>
      <c r="B48" s="21" t="str">
        <f>'Suivi Agents'!B48</f>
        <v>pvt_rgz_ojeovani.ftth</v>
      </c>
      <c r="C48" s="22">
        <f>'Suivi Agents'!G48</f>
        <v>1.3636363636363635</v>
      </c>
      <c r="D48" s="21">
        <f>INDEX('Calcul quotidien'!$D48:$AH48,Paramètres!$B$10)</f>
        <v>0</v>
      </c>
      <c r="E48" s="21" t="str">
        <f>IF('Suivi Agents'!F48=0,"",IF(D48&gt;=C48,"Oui","Non"))</f>
        <v>Non</v>
      </c>
      <c r="F48" s="21">
        <f>'Suivi Agents'!K48</f>
        <v>0</v>
      </c>
      <c r="G48" s="21">
        <f>'Suivi Agents'!F48</f>
        <v>30</v>
      </c>
      <c r="H48" s="23">
        <f>'Suivi Agents'!L48</f>
        <v>0</v>
      </c>
      <c r="I48" s="23">
        <f>'Suivi Agents'!N48</f>
        <v>0</v>
      </c>
    </row>
    <row r="51" spans="1:9" ht="30" customHeight="1" x14ac:dyDescent="0.45">
      <c r="A51" s="14" t="s">
        <v>73</v>
      </c>
      <c r="B51" s="14" t="s">
        <v>173</v>
      </c>
      <c r="C51" s="14" t="s">
        <v>166</v>
      </c>
      <c r="D51" s="14" t="s">
        <v>167</v>
      </c>
      <c r="E51" s="14" t="s">
        <v>168</v>
      </c>
      <c r="F51" s="14" t="s">
        <v>169</v>
      </c>
      <c r="G51" s="14" t="s">
        <v>170</v>
      </c>
      <c r="H51" s="14" t="s">
        <v>171</v>
      </c>
      <c r="I51" s="14" t="s">
        <v>172</v>
      </c>
    </row>
    <row r="52" spans="1:9" x14ac:dyDescent="0.45">
      <c r="A52" s="21" t="s">
        <v>107</v>
      </c>
      <c r="B52" s="21" t="str">
        <f>'Suivi Équipes'!B6&amp;""</f>
        <v/>
      </c>
      <c r="C52" s="22">
        <f>'Suivi Équipes'!F6</f>
        <v>15.454545454545455</v>
      </c>
      <c r="D52" s="21">
        <f>INDEX('Calcul quotidien'!$D99:$AH99,Paramètres!$B$10)</f>
        <v>0</v>
      </c>
      <c r="E52" s="21" t="str">
        <f t="shared" ref="E52:E61" si="0">IF(D52&gt;=C52,"Oui","Non")</f>
        <v>Non</v>
      </c>
      <c r="F52" s="21">
        <f>'Suivi Équipes'!H6</f>
        <v>0</v>
      </c>
      <c r="G52" s="21">
        <f>'Suivi Équipes'!E6</f>
        <v>340</v>
      </c>
      <c r="H52" s="23">
        <f>'Suivi Équipes'!I6</f>
        <v>0</v>
      </c>
      <c r="I52" s="23">
        <f>'Suivi Équipes'!J6</f>
        <v>0</v>
      </c>
    </row>
    <row r="53" spans="1:9" x14ac:dyDescent="0.45">
      <c r="A53" s="21" t="s">
        <v>123</v>
      </c>
      <c r="B53" s="21" t="str">
        <f>'Suivi Équipes'!B7&amp;""</f>
        <v/>
      </c>
      <c r="C53" s="22">
        <f>'Suivi Équipes'!F7</f>
        <v>4.5454545454545459</v>
      </c>
      <c r="D53" s="21">
        <f>INDEX('Calcul quotidien'!$D100:$AH100,Paramètres!$B$10)</f>
        <v>0</v>
      </c>
      <c r="E53" s="21" t="str">
        <f t="shared" si="0"/>
        <v>Non</v>
      </c>
      <c r="F53" s="21">
        <f>'Suivi Équipes'!H7</f>
        <v>0</v>
      </c>
      <c r="G53" s="21">
        <f>'Suivi Équipes'!E7</f>
        <v>100</v>
      </c>
      <c r="H53" s="23">
        <f>'Suivi Équipes'!I7</f>
        <v>0</v>
      </c>
      <c r="I53" s="23">
        <f>'Suivi Équipes'!J7</f>
        <v>0</v>
      </c>
    </row>
    <row r="54" spans="1:9" x14ac:dyDescent="0.45">
      <c r="A54" s="21" t="s">
        <v>127</v>
      </c>
      <c r="B54" s="21" t="str">
        <f>'Suivi Équipes'!B8&amp;""</f>
        <v/>
      </c>
      <c r="C54" s="22">
        <f>'Suivi Équipes'!F8</f>
        <v>9.545454545454545</v>
      </c>
      <c r="D54" s="21">
        <f>INDEX('Calcul quotidien'!$D101:$AH101,Paramètres!$B$10)</f>
        <v>0</v>
      </c>
      <c r="E54" s="21" t="str">
        <f t="shared" si="0"/>
        <v>Non</v>
      </c>
      <c r="F54" s="21">
        <f>'Suivi Équipes'!H8</f>
        <v>0</v>
      </c>
      <c r="G54" s="21">
        <f>'Suivi Équipes'!E8</f>
        <v>210</v>
      </c>
      <c r="H54" s="23">
        <f>'Suivi Équipes'!I8</f>
        <v>0</v>
      </c>
      <c r="I54" s="23">
        <f>'Suivi Équipes'!J8</f>
        <v>0</v>
      </c>
    </row>
    <row r="55" spans="1:9" x14ac:dyDescent="0.45">
      <c r="A55" s="21" t="s">
        <v>132</v>
      </c>
      <c r="B55" s="21" t="str">
        <f>'Suivi Équipes'!B9&amp;""</f>
        <v/>
      </c>
      <c r="C55" s="22">
        <f>'Suivi Équipes'!F9</f>
        <v>5.4545454545454541</v>
      </c>
      <c r="D55" s="21">
        <f>INDEX('Calcul quotidien'!$D102:$AH102,Paramètres!$B$10)</f>
        <v>0</v>
      </c>
      <c r="E55" s="21" t="str">
        <f t="shared" si="0"/>
        <v>Non</v>
      </c>
      <c r="F55" s="21">
        <f>'Suivi Équipes'!H9</f>
        <v>0</v>
      </c>
      <c r="G55" s="21">
        <f>'Suivi Équipes'!E9</f>
        <v>120</v>
      </c>
      <c r="H55" s="23">
        <f>'Suivi Équipes'!I9</f>
        <v>0</v>
      </c>
      <c r="I55" s="23">
        <f>'Suivi Équipes'!J9</f>
        <v>0</v>
      </c>
    </row>
    <row r="56" spans="1:9" x14ac:dyDescent="0.45">
      <c r="A56" s="21" t="s">
        <v>136</v>
      </c>
      <c r="B56" s="21" t="str">
        <f>'Suivi Équipes'!B10&amp;""</f>
        <v/>
      </c>
      <c r="C56" s="22">
        <f>'Suivi Équipes'!F10</f>
        <v>3.6363636363636362</v>
      </c>
      <c r="D56" s="21">
        <f>INDEX('Calcul quotidien'!$D103:$AH103,Paramètres!$B$10)</f>
        <v>0</v>
      </c>
      <c r="E56" s="21" t="str">
        <f t="shared" si="0"/>
        <v>Non</v>
      </c>
      <c r="F56" s="21">
        <f>'Suivi Équipes'!H10</f>
        <v>0</v>
      </c>
      <c r="G56" s="21">
        <f>'Suivi Équipes'!E10</f>
        <v>80</v>
      </c>
      <c r="H56" s="23">
        <f>'Suivi Équipes'!I10</f>
        <v>0</v>
      </c>
      <c r="I56" s="23">
        <f>'Suivi Équipes'!J10</f>
        <v>0</v>
      </c>
    </row>
    <row r="57" spans="1:9" x14ac:dyDescent="0.45">
      <c r="A57" s="21" t="s">
        <v>139</v>
      </c>
      <c r="B57" s="21" t="str">
        <f>'Suivi Équipes'!B11&amp;""</f>
        <v/>
      </c>
      <c r="C57" s="22">
        <f>'Suivi Équipes'!F11</f>
        <v>5.9090909090909092</v>
      </c>
      <c r="D57" s="21">
        <f>INDEX('Calcul quotidien'!$D104:$AH104,Paramètres!$B$10)</f>
        <v>0</v>
      </c>
      <c r="E57" s="21" t="str">
        <f t="shared" si="0"/>
        <v>Non</v>
      </c>
      <c r="F57" s="21">
        <f>'Suivi Équipes'!H11</f>
        <v>0</v>
      </c>
      <c r="G57" s="21">
        <f>'Suivi Équipes'!E11</f>
        <v>130</v>
      </c>
      <c r="H57" s="23">
        <f>'Suivi Équipes'!I11</f>
        <v>0</v>
      </c>
      <c r="I57" s="23">
        <f>'Suivi Équipes'!J11</f>
        <v>0</v>
      </c>
    </row>
    <row r="58" spans="1:9" x14ac:dyDescent="0.45">
      <c r="A58" s="21" t="s">
        <v>144</v>
      </c>
      <c r="B58" s="21" t="str">
        <f>'Suivi Équipes'!B12&amp;""</f>
        <v/>
      </c>
      <c r="C58" s="22">
        <f>'Suivi Équipes'!F12</f>
        <v>6.3636363636363633</v>
      </c>
      <c r="D58" s="21">
        <f>INDEX('Calcul quotidien'!$D105:$AH105,Paramètres!$B$10)</f>
        <v>0</v>
      </c>
      <c r="E58" s="21" t="str">
        <f t="shared" si="0"/>
        <v>Non</v>
      </c>
      <c r="F58" s="21">
        <f>'Suivi Équipes'!H12</f>
        <v>0</v>
      </c>
      <c r="G58" s="21">
        <f>'Suivi Équipes'!E12</f>
        <v>140</v>
      </c>
      <c r="H58" s="23">
        <f>'Suivi Équipes'!I12</f>
        <v>0</v>
      </c>
      <c r="I58" s="23">
        <f>'Suivi Équipes'!J12</f>
        <v>0</v>
      </c>
    </row>
    <row r="59" spans="1:9" x14ac:dyDescent="0.45">
      <c r="A59" s="21" t="s">
        <v>149</v>
      </c>
      <c r="B59" s="21" t="str">
        <f>'Suivi Équipes'!B13&amp;""</f>
        <v/>
      </c>
      <c r="C59" s="22">
        <f>'Suivi Équipes'!F13</f>
        <v>7.5909090909090908</v>
      </c>
      <c r="D59" s="21">
        <f>INDEX('Calcul quotidien'!$D106:$AH106,Paramètres!$B$10)</f>
        <v>0</v>
      </c>
      <c r="E59" s="21" t="str">
        <f t="shared" si="0"/>
        <v>Non</v>
      </c>
      <c r="F59" s="21">
        <f>'Suivi Équipes'!H13</f>
        <v>0</v>
      </c>
      <c r="G59" s="21">
        <f>'Suivi Équipes'!E13</f>
        <v>167</v>
      </c>
      <c r="H59" s="23">
        <f>'Suivi Équipes'!I13</f>
        <v>0</v>
      </c>
      <c r="I59" s="23">
        <f>'Suivi Équipes'!J13</f>
        <v>0</v>
      </c>
    </row>
    <row r="60" spans="1:9" x14ac:dyDescent="0.45">
      <c r="A60" s="21" t="s">
        <v>155</v>
      </c>
      <c r="B60" s="21" t="str">
        <f>'Suivi Équipes'!B14&amp;""</f>
        <v/>
      </c>
      <c r="C60" s="22">
        <f>'Suivi Équipes'!F14</f>
        <v>4.5454545454545459</v>
      </c>
      <c r="D60" s="21">
        <f>INDEX('Calcul quotidien'!$D107:$AH107,Paramètres!$B$10)</f>
        <v>0</v>
      </c>
      <c r="E60" s="21" t="str">
        <f t="shared" si="0"/>
        <v>Non</v>
      </c>
      <c r="F60" s="21">
        <f>'Suivi Équipes'!H14</f>
        <v>0</v>
      </c>
      <c r="G60" s="21">
        <f>'Suivi Équipes'!E14</f>
        <v>100</v>
      </c>
      <c r="H60" s="23">
        <f>'Suivi Équipes'!I14</f>
        <v>0</v>
      </c>
      <c r="I60" s="23">
        <f>'Suivi Équipes'!J14</f>
        <v>0</v>
      </c>
    </row>
    <row r="61" spans="1:9" x14ac:dyDescent="0.45">
      <c r="A61" s="21" t="s">
        <v>158</v>
      </c>
      <c r="B61" s="21" t="str">
        <f>'Suivi Équipes'!B15&amp;""</f>
        <v/>
      </c>
      <c r="C61" s="22">
        <f>'Suivi Équipes'!F15</f>
        <v>4.5454545454545459</v>
      </c>
      <c r="D61" s="21">
        <f>INDEX('Calcul quotidien'!$D108:$AH108,Paramètres!$B$10)</f>
        <v>0</v>
      </c>
      <c r="E61" s="21" t="str">
        <f t="shared" si="0"/>
        <v>Non</v>
      </c>
      <c r="F61" s="21">
        <f>'Suivi Équipes'!H15</f>
        <v>0</v>
      </c>
      <c r="G61" s="21">
        <f>'Suivi Équipes'!E15</f>
        <v>100</v>
      </c>
      <c r="H61" s="23">
        <f>'Suivi Équipes'!I15</f>
        <v>0</v>
      </c>
      <c r="I61" s="23">
        <f>'Suivi Équipes'!J15</f>
        <v>0</v>
      </c>
    </row>
  </sheetData>
  <conditionalFormatting sqref="E6:E48">
    <cfRule type="cellIs" dxfId="18" priority="2" operator="equal">
      <formula>"Oui"</formula>
    </cfRule>
    <cfRule type="cellIs" dxfId="17" priority="3" operator="equal">
      <formula>"Non"</formula>
    </cfRule>
  </conditionalFormatting>
  <conditionalFormatting sqref="E52:E61">
    <cfRule type="cellIs" dxfId="16" priority="7" operator="equal">
      <formula>"Oui"</formula>
    </cfRule>
    <cfRule type="cellIs" dxfId="15" priority="8" operator="equal">
      <formula>"Non"</formula>
    </cfRule>
  </conditionalFormatting>
  <conditionalFormatting sqref="I6:I48">
    <cfRule type="cellIs" dxfId="14" priority="4" operator="between">
      <formula>0</formula>
      <formula>0.7999</formula>
    </cfRule>
    <cfRule type="cellIs" dxfId="13" priority="5" operator="between">
      <formula>0.8</formula>
      <formula>0.9999</formula>
    </cfRule>
    <cfRule type="cellIs" dxfId="12" priority="6" operator="greaterThanOrEqual">
      <formula>1</formula>
    </cfRule>
  </conditionalFormatting>
  <conditionalFormatting sqref="I52:I61">
    <cfRule type="cellIs" dxfId="11" priority="9" operator="between">
      <formula>0</formula>
      <formula>0.8999</formula>
    </cfRule>
    <cfRule type="cellIs" dxfId="10" priority="10" operator="between">
      <formula>0.9</formula>
      <formula>0.9999</formula>
    </cfRule>
    <cfRule type="cellIs" dxfId="9" priority="11" operator="greaterThanOrEqual">
      <formula>1</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49"/>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25" x14ac:dyDescent="0.45"/>
  <cols>
    <col min="1" max="1" width="11" customWidth="1"/>
    <col min="2" max="2" width="24" customWidth="1"/>
    <col min="3" max="3" width="8" customWidth="1"/>
    <col min="4" max="7" width="7" customWidth="1"/>
    <col min="8" max="8" width="8" customWidth="1"/>
    <col min="9" max="11" width="7" customWidth="1"/>
    <col min="12" max="13" width="8" customWidth="1"/>
    <col min="14" max="14" width="9" customWidth="1"/>
    <col min="15" max="15" width="8" customWidth="1"/>
    <col min="16" max="17" width="9" customWidth="1"/>
    <col min="18" max="18" width="12" customWidth="1"/>
    <col min="19" max="21" width="10" customWidth="1"/>
    <col min="22" max="22" width="9" customWidth="1"/>
    <col min="23" max="23" width="10" customWidth="1"/>
    <col min="24" max="25" width="6" customWidth="1"/>
  </cols>
  <sheetData>
    <row r="1" spans="1:25" ht="17.649999999999999" x14ac:dyDescent="0.5">
      <c r="A1" s="5" t="s">
        <v>174</v>
      </c>
    </row>
    <row r="2" spans="1:25" x14ac:dyDescent="0.45">
      <c r="A2" s="6" t="s">
        <v>175</v>
      </c>
    </row>
    <row r="5" spans="1:25" ht="31.5" customHeight="1" x14ac:dyDescent="0.45">
      <c r="A5" s="14" t="s">
        <v>73</v>
      </c>
      <c r="B5" s="14" t="s">
        <v>74</v>
      </c>
      <c r="C5" s="14" t="s">
        <v>75</v>
      </c>
      <c r="D5" s="14" t="s">
        <v>176</v>
      </c>
      <c r="E5" s="14" t="s">
        <v>177</v>
      </c>
      <c r="F5" s="14" t="s">
        <v>178</v>
      </c>
      <c r="G5" s="14" t="s">
        <v>166</v>
      </c>
      <c r="H5" s="14" t="s">
        <v>179</v>
      </c>
      <c r="I5" s="14" t="s">
        <v>180</v>
      </c>
      <c r="J5" s="14" t="s">
        <v>181</v>
      </c>
      <c r="K5" s="14" t="s">
        <v>182</v>
      </c>
      <c r="L5" s="14" t="s">
        <v>171</v>
      </c>
      <c r="M5" s="14" t="s">
        <v>183</v>
      </c>
      <c r="N5" s="14" t="s">
        <v>172</v>
      </c>
      <c r="O5" s="14" t="s">
        <v>184</v>
      </c>
      <c r="P5" s="14" t="s">
        <v>185</v>
      </c>
      <c r="Q5" s="14" t="s">
        <v>186</v>
      </c>
      <c r="R5" s="14" t="s">
        <v>47</v>
      </c>
      <c r="S5" s="14" t="s">
        <v>187</v>
      </c>
      <c r="T5" s="14" t="s">
        <v>188</v>
      </c>
      <c r="U5" s="14" t="s">
        <v>189</v>
      </c>
      <c r="V5" s="14" t="s">
        <v>190</v>
      </c>
      <c r="W5" s="14" t="s">
        <v>191</v>
      </c>
      <c r="X5" s="14" t="s">
        <v>192</v>
      </c>
      <c r="Y5" s="14" t="s">
        <v>193</v>
      </c>
    </row>
    <row r="6" spans="1:25" x14ac:dyDescent="0.45">
      <c r="A6" s="24" t="str">
        <f>'Saisie B2C'!A6</f>
        <v>YANKEE</v>
      </c>
      <c r="B6" s="24" t="str">
        <f>'Saisie B2C'!B6</f>
        <v>pms_rgz_tosee.ftth</v>
      </c>
      <c r="C6" s="24" t="str">
        <f>'Saisie B2C'!C6</f>
        <v>Oui</v>
      </c>
      <c r="D6" s="25">
        <v>30</v>
      </c>
      <c r="E6" s="25">
        <v>14</v>
      </c>
      <c r="F6" s="24">
        <f t="shared" ref="F6:F48" si="0">D6+E6</f>
        <v>44</v>
      </c>
      <c r="G6" s="26">
        <f>F6/Paramètres!$B$9</f>
        <v>2</v>
      </c>
      <c r="H6" s="25">
        <v>54</v>
      </c>
      <c r="I6" s="24">
        <f>SUM('Saisie B2C'!D6:AH6)</f>
        <v>0</v>
      </c>
      <c r="J6" s="24">
        <f>SUM('Saisie B2B'!D6:AH6)</f>
        <v>0</v>
      </c>
      <c r="K6" s="24">
        <f t="shared" ref="K6:K48" si="1">I6+J6</f>
        <v>0</v>
      </c>
      <c r="L6" s="27">
        <f t="shared" ref="L6:L49" si="2">IF(F6&gt;0,K6/F6,"")</f>
        <v>0</v>
      </c>
      <c r="M6" s="26">
        <f>F6*Paramètres!$B$11/Paramètres!$B$9</f>
        <v>2</v>
      </c>
      <c r="N6" s="27">
        <f t="shared" ref="N6:N49" si="3">IF(M6&gt;0,K6/M6,"")</f>
        <v>0</v>
      </c>
      <c r="O6" s="24">
        <f t="shared" ref="O6:O48" si="4">IF(F6&gt;0,MAX(0,F6-K6),"")</f>
        <v>44</v>
      </c>
      <c r="P6" s="24">
        <f>IF(F6&gt;0,SUMPRODUCT(('Saisie B2C'!D6:AH6+'Saisie B2B'!D6:AH6&gt;=G6)*(Paramètres!$B$7:$AF$7=1)*(Paramètres!$B$4:$AF$4&lt;=Paramètres!$B$10)),0)</f>
        <v>0</v>
      </c>
      <c r="Q6" s="24">
        <f>COUNTIF('Calcul quotidien'!$D$96:$AH$96,B6)</f>
        <v>0</v>
      </c>
      <c r="R6" s="24" t="str">
        <f>IF(OR(F6=0,C6&lt;&gt;"Oui"),"Non éligible",INDEX(Paramètres!$A$15:$A$18,MATCH(L6,Paramètres!$B$15:$B$18,1)))</f>
        <v>Aucun</v>
      </c>
      <c r="S6" s="28">
        <f>IF(R6="Non éligible",0,INDEX(Paramètres!$C$15:$C$18,MATCH(L6,Paramètres!$B$15:$B$18,1)))</f>
        <v>0</v>
      </c>
      <c r="T6" s="28">
        <f>IF(R6="Non éligible",0,P6*Paramètres!$C$20)</f>
        <v>0</v>
      </c>
      <c r="U6" s="28">
        <f>IF(R6="Non éligible",0,Q6*Paramètres!$C$21)</f>
        <v>0</v>
      </c>
      <c r="V6" s="28">
        <f>IF(AND(R6&lt;&gt;"Non éligible",E6&gt;0,J6&gt;=E6),Paramètres!$C$22,0)</f>
        <v>0</v>
      </c>
      <c r="W6" s="28">
        <f t="shared" ref="W6:W48" si="5">S6+T6+U6+V6</f>
        <v>0</v>
      </c>
      <c r="X6" s="24">
        <f t="shared" ref="X6:X48" si="6">IF(Y6&lt;0,"",RANK(Y6,$Y$6:$Y$48))</f>
        <v>1</v>
      </c>
      <c r="Y6" s="29">
        <f t="shared" ref="Y6:Y48" si="7">IF(R6="Non éligible",-1,L6+K6/100000+(1000-ROW())/100000000)</f>
        <v>9.9399999999999997E-6</v>
      </c>
    </row>
    <row r="7" spans="1:25" x14ac:dyDescent="0.45">
      <c r="A7" s="24" t="str">
        <f>'Saisie B2C'!A7</f>
        <v>YANKEE</v>
      </c>
      <c r="B7" s="24" t="str">
        <f>'Saisie B2C'!B7</f>
        <v>pvt_rgz_mfrancois.ftth</v>
      </c>
      <c r="C7" s="24" t="str">
        <f>'Saisie B2C'!C7</f>
        <v>Oui</v>
      </c>
      <c r="D7" s="25">
        <v>30</v>
      </c>
      <c r="E7" s="25">
        <v>5</v>
      </c>
      <c r="F7" s="24">
        <f t="shared" si="0"/>
        <v>35</v>
      </c>
      <c r="G7" s="26">
        <f>F7/Paramètres!$B$9</f>
        <v>1.5909090909090908</v>
      </c>
      <c r="H7" s="25">
        <v>52</v>
      </c>
      <c r="I7" s="24">
        <f>SUM('Saisie B2C'!D7:AH7)</f>
        <v>0</v>
      </c>
      <c r="J7" s="24">
        <f>SUM('Saisie B2B'!D7:AH7)</f>
        <v>0</v>
      </c>
      <c r="K7" s="24">
        <f t="shared" si="1"/>
        <v>0</v>
      </c>
      <c r="L7" s="27">
        <f t="shared" si="2"/>
        <v>0</v>
      </c>
      <c r="M7" s="26">
        <f>F7*Paramètres!$B$11/Paramètres!$B$9</f>
        <v>1.5909090909090908</v>
      </c>
      <c r="N7" s="27">
        <f t="shared" si="3"/>
        <v>0</v>
      </c>
      <c r="O7" s="24">
        <f t="shared" si="4"/>
        <v>35</v>
      </c>
      <c r="P7" s="24">
        <f>IF(F7&gt;0,SUMPRODUCT(('Saisie B2C'!D7:AH7+'Saisie B2B'!D7:AH7&gt;=G7)*(Paramètres!$B$7:$AF$7=1)*(Paramètres!$B$4:$AF$4&lt;=Paramètres!$B$10)),0)</f>
        <v>0</v>
      </c>
      <c r="Q7" s="24">
        <f>COUNTIF('Calcul quotidien'!$D$96:$AH$96,B7)</f>
        <v>0</v>
      </c>
      <c r="R7" s="24" t="str">
        <f>IF(OR(F7=0,C7&lt;&gt;"Oui"),"Non éligible",INDEX(Paramètres!$A$15:$A$18,MATCH(L7,Paramètres!$B$15:$B$18,1)))</f>
        <v>Aucun</v>
      </c>
      <c r="S7" s="28">
        <f>IF(R7="Non éligible",0,INDEX(Paramètres!$C$15:$C$18,MATCH(L7,Paramètres!$B$15:$B$18,1)))</f>
        <v>0</v>
      </c>
      <c r="T7" s="28">
        <f>IF(R7="Non éligible",0,P7*Paramètres!$C$20)</f>
        <v>0</v>
      </c>
      <c r="U7" s="28">
        <f>IF(R7="Non éligible",0,Q7*Paramètres!$C$21)</f>
        <v>0</v>
      </c>
      <c r="V7" s="28">
        <f>IF(AND(R7&lt;&gt;"Non éligible",E7&gt;0,J7&gt;=E7),Paramètres!$C$22,0)</f>
        <v>0</v>
      </c>
      <c r="W7" s="28">
        <f t="shared" si="5"/>
        <v>0</v>
      </c>
      <c r="X7" s="24">
        <f t="shared" si="6"/>
        <v>2</v>
      </c>
      <c r="Y7" s="29">
        <f t="shared" si="7"/>
        <v>9.9299999999999998E-6</v>
      </c>
    </row>
    <row r="8" spans="1:25" x14ac:dyDescent="0.45">
      <c r="A8" s="24" t="str">
        <f>'Saisie B2C'!A8</f>
        <v>YANKEE</v>
      </c>
      <c r="B8" s="24" t="str">
        <f>'Saisie B2C'!B8</f>
        <v>pvt_rgz_fadji.ftth</v>
      </c>
      <c r="C8" s="24" t="str">
        <f>'Saisie B2C'!C8</f>
        <v>Oui</v>
      </c>
      <c r="D8" s="25">
        <v>30</v>
      </c>
      <c r="E8" s="25">
        <v>4</v>
      </c>
      <c r="F8" s="24">
        <f t="shared" si="0"/>
        <v>34</v>
      </c>
      <c r="G8" s="26">
        <f>F8/Paramètres!$B$9</f>
        <v>1.5454545454545454</v>
      </c>
      <c r="H8" s="25">
        <v>52</v>
      </c>
      <c r="I8" s="24">
        <f>SUM('Saisie B2C'!D8:AH8)</f>
        <v>0</v>
      </c>
      <c r="J8" s="24">
        <f>SUM('Saisie B2B'!D8:AH8)</f>
        <v>0</v>
      </c>
      <c r="K8" s="24">
        <f t="shared" si="1"/>
        <v>0</v>
      </c>
      <c r="L8" s="27">
        <f t="shared" si="2"/>
        <v>0</v>
      </c>
      <c r="M8" s="26">
        <f>F8*Paramètres!$B$11/Paramètres!$B$9</f>
        <v>1.5454545454545454</v>
      </c>
      <c r="N8" s="27">
        <f t="shared" si="3"/>
        <v>0</v>
      </c>
      <c r="O8" s="24">
        <f t="shared" si="4"/>
        <v>34</v>
      </c>
      <c r="P8" s="24">
        <f>IF(F8&gt;0,SUMPRODUCT(('Saisie B2C'!D8:AH8+'Saisie B2B'!D8:AH8&gt;=G8)*(Paramètres!$B$7:$AF$7=1)*(Paramètres!$B$4:$AF$4&lt;=Paramètres!$B$10)),0)</f>
        <v>0</v>
      </c>
      <c r="Q8" s="24">
        <f>COUNTIF('Calcul quotidien'!$D$96:$AH$96,B8)</f>
        <v>0</v>
      </c>
      <c r="R8" s="24" t="str">
        <f>IF(OR(F8=0,C8&lt;&gt;"Oui"),"Non éligible",INDEX(Paramètres!$A$15:$A$18,MATCH(L8,Paramètres!$B$15:$B$18,1)))</f>
        <v>Aucun</v>
      </c>
      <c r="S8" s="28">
        <f>IF(R8="Non éligible",0,INDEX(Paramètres!$C$15:$C$18,MATCH(L8,Paramètres!$B$15:$B$18,1)))</f>
        <v>0</v>
      </c>
      <c r="T8" s="28">
        <f>IF(R8="Non éligible",0,P8*Paramètres!$C$20)</f>
        <v>0</v>
      </c>
      <c r="U8" s="28">
        <f>IF(R8="Non éligible",0,Q8*Paramètres!$C$21)</f>
        <v>0</v>
      </c>
      <c r="V8" s="28">
        <f>IF(AND(R8&lt;&gt;"Non éligible",E8&gt;0,J8&gt;=E8),Paramètres!$C$22,0)</f>
        <v>0</v>
      </c>
      <c r="W8" s="28">
        <f t="shared" si="5"/>
        <v>0</v>
      </c>
      <c r="X8" s="24">
        <f t="shared" si="6"/>
        <v>3</v>
      </c>
      <c r="Y8" s="29">
        <f t="shared" si="7"/>
        <v>9.9199999999999999E-6</v>
      </c>
    </row>
    <row r="9" spans="1:25" x14ac:dyDescent="0.45">
      <c r="A9" s="24" t="str">
        <f>'Saisie B2C'!A9</f>
        <v>YANKEE</v>
      </c>
      <c r="B9" s="24" t="str">
        <f>'Saisie B2C'!B9</f>
        <v>pvt_rgz_dcharmelie.ftth</v>
      </c>
      <c r="C9" s="24" t="str">
        <f>'Saisie B2C'!C9</f>
        <v>Oui</v>
      </c>
      <c r="D9" s="25">
        <v>25</v>
      </c>
      <c r="E9" s="25">
        <v>3</v>
      </c>
      <c r="F9" s="24">
        <f t="shared" si="0"/>
        <v>28</v>
      </c>
      <c r="G9" s="26">
        <f>F9/Paramètres!$B$9</f>
        <v>1.2727272727272727</v>
      </c>
      <c r="H9" s="25">
        <v>40</v>
      </c>
      <c r="I9" s="24">
        <f>SUM('Saisie B2C'!D9:AH9)</f>
        <v>0</v>
      </c>
      <c r="J9" s="24">
        <f>SUM('Saisie B2B'!D9:AH9)</f>
        <v>0</v>
      </c>
      <c r="K9" s="24">
        <f t="shared" si="1"/>
        <v>0</v>
      </c>
      <c r="L9" s="27">
        <f t="shared" si="2"/>
        <v>0</v>
      </c>
      <c r="M9" s="26">
        <f>F9*Paramètres!$B$11/Paramètres!$B$9</f>
        <v>1.2727272727272727</v>
      </c>
      <c r="N9" s="27">
        <f t="shared" si="3"/>
        <v>0</v>
      </c>
      <c r="O9" s="24">
        <f t="shared" si="4"/>
        <v>28</v>
      </c>
      <c r="P9" s="24">
        <f>IF(F9&gt;0,SUMPRODUCT(('Saisie B2C'!D9:AH9+'Saisie B2B'!D9:AH9&gt;=G9)*(Paramètres!$B$7:$AF$7=1)*(Paramètres!$B$4:$AF$4&lt;=Paramètres!$B$10)),0)</f>
        <v>0</v>
      </c>
      <c r="Q9" s="24">
        <f>COUNTIF('Calcul quotidien'!$D$96:$AH$96,B9)</f>
        <v>0</v>
      </c>
      <c r="R9" s="24" t="str">
        <f>IF(OR(F9=0,C9&lt;&gt;"Oui"),"Non éligible",INDEX(Paramètres!$A$15:$A$18,MATCH(L9,Paramètres!$B$15:$B$18,1)))</f>
        <v>Aucun</v>
      </c>
      <c r="S9" s="28">
        <f>IF(R9="Non éligible",0,INDEX(Paramètres!$C$15:$C$18,MATCH(L9,Paramètres!$B$15:$B$18,1)))</f>
        <v>0</v>
      </c>
      <c r="T9" s="28">
        <f>IF(R9="Non éligible",0,P9*Paramètres!$C$20)</f>
        <v>0</v>
      </c>
      <c r="U9" s="28">
        <f>IF(R9="Non éligible",0,Q9*Paramètres!$C$21)</f>
        <v>0</v>
      </c>
      <c r="V9" s="28">
        <f>IF(AND(R9&lt;&gt;"Non éligible",E9&gt;0,J9&gt;=E9),Paramètres!$C$22,0)</f>
        <v>0</v>
      </c>
      <c r="W9" s="28">
        <f t="shared" si="5"/>
        <v>0</v>
      </c>
      <c r="X9" s="24">
        <f t="shared" si="6"/>
        <v>4</v>
      </c>
      <c r="Y9" s="29">
        <f t="shared" si="7"/>
        <v>9.91E-6</v>
      </c>
    </row>
    <row r="10" spans="1:25" x14ac:dyDescent="0.45">
      <c r="A10" s="24" t="str">
        <f>'Saisie B2C'!A10</f>
        <v>YANKEE</v>
      </c>
      <c r="B10" s="24" t="str">
        <f>'Saisie B2C'!B10</f>
        <v>pvt_rgz_gkohla.ftth</v>
      </c>
      <c r="C10" s="24" t="str">
        <f>'Saisie B2C'!C10</f>
        <v>Oui</v>
      </c>
      <c r="D10" s="25">
        <v>30</v>
      </c>
      <c r="E10" s="25">
        <v>6</v>
      </c>
      <c r="F10" s="24">
        <f t="shared" si="0"/>
        <v>36</v>
      </c>
      <c r="G10" s="26">
        <f>F10/Paramètres!$B$9</f>
        <v>1.6363636363636365</v>
      </c>
      <c r="H10" s="25">
        <v>37</v>
      </c>
      <c r="I10" s="24">
        <f>SUM('Saisie B2C'!D10:AH10)</f>
        <v>0</v>
      </c>
      <c r="J10" s="24">
        <f>SUM('Saisie B2B'!D10:AH10)</f>
        <v>0</v>
      </c>
      <c r="K10" s="24">
        <f t="shared" si="1"/>
        <v>0</v>
      </c>
      <c r="L10" s="27">
        <f t="shared" si="2"/>
        <v>0</v>
      </c>
      <c r="M10" s="26">
        <f>F10*Paramètres!$B$11/Paramètres!$B$9</f>
        <v>1.6363636363636365</v>
      </c>
      <c r="N10" s="27">
        <f t="shared" si="3"/>
        <v>0</v>
      </c>
      <c r="O10" s="24">
        <f t="shared" si="4"/>
        <v>36</v>
      </c>
      <c r="P10" s="24">
        <f>IF(F10&gt;0,SUMPRODUCT(('Saisie B2C'!D10:AH10+'Saisie B2B'!D10:AH10&gt;=G10)*(Paramètres!$B$7:$AF$7=1)*(Paramètres!$B$4:$AF$4&lt;=Paramètres!$B$10)),0)</f>
        <v>0</v>
      </c>
      <c r="Q10" s="24">
        <f>COUNTIF('Calcul quotidien'!$D$96:$AH$96,B10)</f>
        <v>0</v>
      </c>
      <c r="R10" s="24" t="str">
        <f>IF(OR(F10=0,C10&lt;&gt;"Oui"),"Non éligible",INDEX(Paramètres!$A$15:$A$18,MATCH(L10,Paramètres!$B$15:$B$18,1)))</f>
        <v>Aucun</v>
      </c>
      <c r="S10" s="28">
        <f>IF(R10="Non éligible",0,INDEX(Paramètres!$C$15:$C$18,MATCH(L10,Paramètres!$B$15:$B$18,1)))</f>
        <v>0</v>
      </c>
      <c r="T10" s="28">
        <f>IF(R10="Non éligible",0,P10*Paramètres!$C$20)</f>
        <v>0</v>
      </c>
      <c r="U10" s="28">
        <f>IF(R10="Non éligible",0,Q10*Paramètres!$C$21)</f>
        <v>0</v>
      </c>
      <c r="V10" s="28">
        <f>IF(AND(R10&lt;&gt;"Non éligible",E10&gt;0,J10&gt;=E10),Paramètres!$C$22,0)</f>
        <v>0</v>
      </c>
      <c r="W10" s="28">
        <f t="shared" si="5"/>
        <v>0</v>
      </c>
      <c r="X10" s="24">
        <f t="shared" si="6"/>
        <v>5</v>
      </c>
      <c r="Y10" s="29">
        <f t="shared" si="7"/>
        <v>9.9000000000000001E-6</v>
      </c>
    </row>
    <row r="11" spans="1:25" x14ac:dyDescent="0.45">
      <c r="A11" s="24" t="str">
        <f>'Saisie B2C'!A11</f>
        <v>YANKEE</v>
      </c>
      <c r="B11" s="24" t="str">
        <f>'Saisie B2C'!B11</f>
        <v>pvt_rgz_rclotoe.ftth</v>
      </c>
      <c r="C11" s="24" t="str">
        <f>'Saisie B2C'!C11</f>
        <v>Oui</v>
      </c>
      <c r="D11" s="25">
        <v>25</v>
      </c>
      <c r="E11" s="25">
        <v>5</v>
      </c>
      <c r="F11" s="24">
        <f t="shared" si="0"/>
        <v>30</v>
      </c>
      <c r="G11" s="26">
        <f>F11/Paramètres!$B$9</f>
        <v>1.3636363636363635</v>
      </c>
      <c r="H11" s="25">
        <v>36</v>
      </c>
      <c r="I11" s="24">
        <f>SUM('Saisie B2C'!D11:AH11)</f>
        <v>0</v>
      </c>
      <c r="J11" s="24">
        <f>SUM('Saisie B2B'!D11:AH11)</f>
        <v>0</v>
      </c>
      <c r="K11" s="24">
        <f t="shared" si="1"/>
        <v>0</v>
      </c>
      <c r="L11" s="27">
        <f t="shared" si="2"/>
        <v>0</v>
      </c>
      <c r="M11" s="26">
        <f>F11*Paramètres!$B$11/Paramètres!$B$9</f>
        <v>1.3636363636363635</v>
      </c>
      <c r="N11" s="27">
        <f t="shared" si="3"/>
        <v>0</v>
      </c>
      <c r="O11" s="24">
        <f t="shared" si="4"/>
        <v>30</v>
      </c>
      <c r="P11" s="24">
        <f>IF(F11&gt;0,SUMPRODUCT(('Saisie B2C'!D11:AH11+'Saisie B2B'!D11:AH11&gt;=G11)*(Paramètres!$B$7:$AF$7=1)*(Paramètres!$B$4:$AF$4&lt;=Paramètres!$B$10)),0)</f>
        <v>0</v>
      </c>
      <c r="Q11" s="24">
        <f>COUNTIF('Calcul quotidien'!$D$96:$AH$96,B11)</f>
        <v>0</v>
      </c>
      <c r="R11" s="24" t="str">
        <f>IF(OR(F11=0,C11&lt;&gt;"Oui"),"Non éligible",INDEX(Paramètres!$A$15:$A$18,MATCH(L11,Paramètres!$B$15:$B$18,1)))</f>
        <v>Aucun</v>
      </c>
      <c r="S11" s="28">
        <f>IF(R11="Non éligible",0,INDEX(Paramètres!$C$15:$C$18,MATCH(L11,Paramètres!$B$15:$B$18,1)))</f>
        <v>0</v>
      </c>
      <c r="T11" s="28">
        <f>IF(R11="Non éligible",0,P11*Paramètres!$C$20)</f>
        <v>0</v>
      </c>
      <c r="U11" s="28">
        <f>IF(R11="Non éligible",0,Q11*Paramètres!$C$21)</f>
        <v>0</v>
      </c>
      <c r="V11" s="28">
        <f>IF(AND(R11&lt;&gt;"Non éligible",E11&gt;0,J11&gt;=E11),Paramètres!$C$22,0)</f>
        <v>0</v>
      </c>
      <c r="W11" s="28">
        <f t="shared" si="5"/>
        <v>0</v>
      </c>
      <c r="X11" s="24">
        <f t="shared" si="6"/>
        <v>6</v>
      </c>
      <c r="Y11" s="29">
        <f t="shared" si="7"/>
        <v>9.8900000000000002E-6</v>
      </c>
    </row>
    <row r="12" spans="1:25" x14ac:dyDescent="0.45">
      <c r="A12" s="24" t="str">
        <f>'Saisie B2C'!A12</f>
        <v>YANKEE</v>
      </c>
      <c r="B12" s="24" t="str">
        <f>'Saisie B2C'!B12</f>
        <v>pvt_rgz_aconstant.ftth</v>
      </c>
      <c r="C12" s="24" t="str">
        <f>'Saisie B2C'!C12</f>
        <v>Oui</v>
      </c>
      <c r="D12" s="25">
        <v>20</v>
      </c>
      <c r="E12" s="25">
        <v>5</v>
      </c>
      <c r="F12" s="24">
        <f t="shared" si="0"/>
        <v>25</v>
      </c>
      <c r="G12" s="26">
        <f>F12/Paramètres!$B$9</f>
        <v>1.1363636363636365</v>
      </c>
      <c r="H12" s="25">
        <v>35</v>
      </c>
      <c r="I12" s="24">
        <f>SUM('Saisie B2C'!D12:AH12)</f>
        <v>0</v>
      </c>
      <c r="J12" s="24">
        <f>SUM('Saisie B2B'!D12:AH12)</f>
        <v>0</v>
      </c>
      <c r="K12" s="24">
        <f t="shared" si="1"/>
        <v>0</v>
      </c>
      <c r="L12" s="27">
        <f t="shared" si="2"/>
        <v>0</v>
      </c>
      <c r="M12" s="26">
        <f>F12*Paramètres!$B$11/Paramètres!$B$9</f>
        <v>1.1363636363636365</v>
      </c>
      <c r="N12" s="27">
        <f t="shared" si="3"/>
        <v>0</v>
      </c>
      <c r="O12" s="24">
        <f t="shared" si="4"/>
        <v>25</v>
      </c>
      <c r="P12" s="24">
        <f>IF(F12&gt;0,SUMPRODUCT(('Saisie B2C'!D12:AH12+'Saisie B2B'!D12:AH12&gt;=G12)*(Paramètres!$B$7:$AF$7=1)*(Paramètres!$B$4:$AF$4&lt;=Paramètres!$B$10)),0)</f>
        <v>0</v>
      </c>
      <c r="Q12" s="24">
        <f>COUNTIF('Calcul quotidien'!$D$96:$AH$96,B12)</f>
        <v>0</v>
      </c>
      <c r="R12" s="24" t="str">
        <f>IF(OR(F12=0,C12&lt;&gt;"Oui"),"Non éligible",INDEX(Paramètres!$A$15:$A$18,MATCH(L12,Paramètres!$B$15:$B$18,1)))</f>
        <v>Aucun</v>
      </c>
      <c r="S12" s="28">
        <f>IF(R12="Non éligible",0,INDEX(Paramètres!$C$15:$C$18,MATCH(L12,Paramètres!$B$15:$B$18,1)))</f>
        <v>0</v>
      </c>
      <c r="T12" s="28">
        <f>IF(R12="Non éligible",0,P12*Paramètres!$C$20)</f>
        <v>0</v>
      </c>
      <c r="U12" s="28">
        <f>IF(R12="Non éligible",0,Q12*Paramètres!$C$21)</f>
        <v>0</v>
      </c>
      <c r="V12" s="28">
        <f>IF(AND(R12&lt;&gt;"Non éligible",E12&gt;0,J12&gt;=E12),Paramètres!$C$22,0)</f>
        <v>0</v>
      </c>
      <c r="W12" s="28">
        <f t="shared" si="5"/>
        <v>0</v>
      </c>
      <c r="X12" s="24">
        <f t="shared" si="6"/>
        <v>7</v>
      </c>
      <c r="Y12" s="29">
        <f t="shared" si="7"/>
        <v>9.8800000000000003E-6</v>
      </c>
    </row>
    <row r="13" spans="1:25" x14ac:dyDescent="0.45">
      <c r="A13" s="24" t="str">
        <f>'Saisie B2C'!A13</f>
        <v>YANKEE</v>
      </c>
      <c r="B13" s="24" t="str">
        <f>'Saisie B2C'!B13</f>
        <v>pvt_rgz_cmessinou.ftth</v>
      </c>
      <c r="C13" s="24" t="str">
        <f>'Saisie B2C'!C13</f>
        <v>Oui</v>
      </c>
      <c r="D13" s="25">
        <v>20</v>
      </c>
      <c r="E13" s="25">
        <v>3</v>
      </c>
      <c r="F13" s="24">
        <f t="shared" si="0"/>
        <v>23</v>
      </c>
      <c r="G13" s="26">
        <f>F13/Paramètres!$B$9</f>
        <v>1.0454545454545454</v>
      </c>
      <c r="H13" s="25">
        <v>35</v>
      </c>
      <c r="I13" s="24">
        <f>SUM('Saisie B2C'!D13:AH13)</f>
        <v>0</v>
      </c>
      <c r="J13" s="24">
        <f>SUM('Saisie B2B'!D13:AH13)</f>
        <v>0</v>
      </c>
      <c r="K13" s="24">
        <f t="shared" si="1"/>
        <v>0</v>
      </c>
      <c r="L13" s="27">
        <f t="shared" si="2"/>
        <v>0</v>
      </c>
      <c r="M13" s="26">
        <f>F13*Paramètres!$B$11/Paramètres!$B$9</f>
        <v>1.0454545454545454</v>
      </c>
      <c r="N13" s="27">
        <f t="shared" si="3"/>
        <v>0</v>
      </c>
      <c r="O13" s="24">
        <f t="shared" si="4"/>
        <v>23</v>
      </c>
      <c r="P13" s="24">
        <f>IF(F13&gt;0,SUMPRODUCT(('Saisie B2C'!D13:AH13+'Saisie B2B'!D13:AH13&gt;=G13)*(Paramètres!$B$7:$AF$7=1)*(Paramètres!$B$4:$AF$4&lt;=Paramètres!$B$10)),0)</f>
        <v>0</v>
      </c>
      <c r="Q13" s="24">
        <f>COUNTIF('Calcul quotidien'!$D$96:$AH$96,B13)</f>
        <v>0</v>
      </c>
      <c r="R13" s="24" t="str">
        <f>IF(OR(F13=0,C13&lt;&gt;"Oui"),"Non éligible",INDEX(Paramètres!$A$15:$A$18,MATCH(L13,Paramètres!$B$15:$B$18,1)))</f>
        <v>Aucun</v>
      </c>
      <c r="S13" s="28">
        <f>IF(R13="Non éligible",0,INDEX(Paramètres!$C$15:$C$18,MATCH(L13,Paramètres!$B$15:$B$18,1)))</f>
        <v>0</v>
      </c>
      <c r="T13" s="28">
        <f>IF(R13="Non éligible",0,P13*Paramètres!$C$20)</f>
        <v>0</v>
      </c>
      <c r="U13" s="28">
        <f>IF(R13="Non éligible",0,Q13*Paramètres!$C$21)</f>
        <v>0</v>
      </c>
      <c r="V13" s="28">
        <f>IF(AND(R13&lt;&gt;"Non éligible",E13&gt;0,J13&gt;=E13),Paramètres!$C$22,0)</f>
        <v>0</v>
      </c>
      <c r="W13" s="28">
        <f t="shared" si="5"/>
        <v>0</v>
      </c>
      <c r="X13" s="24">
        <f t="shared" si="6"/>
        <v>8</v>
      </c>
      <c r="Y13" s="29">
        <f t="shared" si="7"/>
        <v>9.8700000000000004E-6</v>
      </c>
    </row>
    <row r="14" spans="1:25" x14ac:dyDescent="0.45">
      <c r="A14" s="24" t="str">
        <f>'Saisie B2C'!A14</f>
        <v>YANKEE</v>
      </c>
      <c r="B14" s="24" t="str">
        <f>'Saisie B2C'!B14</f>
        <v>pvt_rgz_lsenakpon.ftth</v>
      </c>
      <c r="C14" s="24" t="str">
        <f>'Saisie B2C'!C14</f>
        <v>Oui</v>
      </c>
      <c r="D14" s="25">
        <v>35</v>
      </c>
      <c r="E14" s="25">
        <v>5</v>
      </c>
      <c r="F14" s="24">
        <f t="shared" si="0"/>
        <v>40</v>
      </c>
      <c r="G14" s="26">
        <f>F14/Paramètres!$B$9</f>
        <v>1.8181818181818181</v>
      </c>
      <c r="H14" s="25">
        <v>34</v>
      </c>
      <c r="I14" s="24">
        <f>SUM('Saisie B2C'!D14:AH14)</f>
        <v>0</v>
      </c>
      <c r="J14" s="24">
        <f>SUM('Saisie B2B'!D14:AH14)</f>
        <v>0</v>
      </c>
      <c r="K14" s="24">
        <f t="shared" si="1"/>
        <v>0</v>
      </c>
      <c r="L14" s="27">
        <f t="shared" si="2"/>
        <v>0</v>
      </c>
      <c r="M14" s="26">
        <f>F14*Paramètres!$B$11/Paramètres!$B$9</f>
        <v>1.8181818181818181</v>
      </c>
      <c r="N14" s="27">
        <f t="shared" si="3"/>
        <v>0</v>
      </c>
      <c r="O14" s="24">
        <f t="shared" si="4"/>
        <v>40</v>
      </c>
      <c r="P14" s="24">
        <f>IF(F14&gt;0,SUMPRODUCT(('Saisie B2C'!D14:AH14+'Saisie B2B'!D14:AH14&gt;=G14)*(Paramètres!$B$7:$AF$7=1)*(Paramètres!$B$4:$AF$4&lt;=Paramètres!$B$10)),0)</f>
        <v>0</v>
      </c>
      <c r="Q14" s="24">
        <f>COUNTIF('Calcul quotidien'!$D$96:$AH$96,B14)</f>
        <v>0</v>
      </c>
      <c r="R14" s="24" t="str">
        <f>IF(OR(F14=0,C14&lt;&gt;"Oui"),"Non éligible",INDEX(Paramètres!$A$15:$A$18,MATCH(L14,Paramètres!$B$15:$B$18,1)))</f>
        <v>Aucun</v>
      </c>
      <c r="S14" s="28">
        <f>IF(R14="Non éligible",0,INDEX(Paramètres!$C$15:$C$18,MATCH(L14,Paramètres!$B$15:$B$18,1)))</f>
        <v>0</v>
      </c>
      <c r="T14" s="28">
        <f>IF(R14="Non éligible",0,P14*Paramètres!$C$20)</f>
        <v>0</v>
      </c>
      <c r="U14" s="28">
        <f>IF(R14="Non éligible",0,Q14*Paramètres!$C$21)</f>
        <v>0</v>
      </c>
      <c r="V14" s="28">
        <f>IF(AND(R14&lt;&gt;"Non éligible",E14&gt;0,J14&gt;=E14),Paramètres!$C$22,0)</f>
        <v>0</v>
      </c>
      <c r="W14" s="28">
        <f t="shared" si="5"/>
        <v>0</v>
      </c>
      <c r="X14" s="24">
        <f t="shared" si="6"/>
        <v>9</v>
      </c>
      <c r="Y14" s="29">
        <f t="shared" si="7"/>
        <v>9.8600000000000005E-6</v>
      </c>
    </row>
    <row r="15" spans="1:25" x14ac:dyDescent="0.45">
      <c r="A15" s="24" t="str">
        <f>'Saisie B2C'!A15</f>
        <v>YANKEE</v>
      </c>
      <c r="B15" s="24" t="str">
        <f>'Saisie B2C'!B15</f>
        <v>pvt_rgz_tletitia.ftth</v>
      </c>
      <c r="C15" s="24" t="str">
        <f>'Saisie B2C'!C15</f>
        <v>Oui</v>
      </c>
      <c r="D15" s="25">
        <v>20</v>
      </c>
      <c r="E15" s="25">
        <v>0</v>
      </c>
      <c r="F15" s="24">
        <f t="shared" si="0"/>
        <v>20</v>
      </c>
      <c r="G15" s="26">
        <f>F15/Paramètres!$B$9</f>
        <v>0.90909090909090906</v>
      </c>
      <c r="H15" s="25">
        <v>30</v>
      </c>
      <c r="I15" s="24">
        <f>SUM('Saisie B2C'!D15:AH15)</f>
        <v>0</v>
      </c>
      <c r="J15" s="24">
        <f>SUM('Saisie B2B'!D15:AH15)</f>
        <v>0</v>
      </c>
      <c r="K15" s="24">
        <f t="shared" si="1"/>
        <v>0</v>
      </c>
      <c r="L15" s="27">
        <f t="shared" si="2"/>
        <v>0</v>
      </c>
      <c r="M15" s="26">
        <f>F15*Paramètres!$B$11/Paramètres!$B$9</f>
        <v>0.90909090909090906</v>
      </c>
      <c r="N15" s="27">
        <f t="shared" si="3"/>
        <v>0</v>
      </c>
      <c r="O15" s="24">
        <f t="shared" si="4"/>
        <v>20</v>
      </c>
      <c r="P15" s="24">
        <f>IF(F15&gt;0,SUMPRODUCT(('Saisie B2C'!D15:AH15+'Saisie B2B'!D15:AH15&gt;=G15)*(Paramètres!$B$7:$AF$7=1)*(Paramètres!$B$4:$AF$4&lt;=Paramètres!$B$10)),0)</f>
        <v>0</v>
      </c>
      <c r="Q15" s="24">
        <f>COUNTIF('Calcul quotidien'!$D$96:$AH$96,B15)</f>
        <v>0</v>
      </c>
      <c r="R15" s="24" t="str">
        <f>IF(OR(F15=0,C15&lt;&gt;"Oui"),"Non éligible",INDEX(Paramètres!$A$15:$A$18,MATCH(L15,Paramètres!$B$15:$B$18,1)))</f>
        <v>Aucun</v>
      </c>
      <c r="S15" s="28">
        <f>IF(R15="Non éligible",0,INDEX(Paramètres!$C$15:$C$18,MATCH(L15,Paramètres!$B$15:$B$18,1)))</f>
        <v>0</v>
      </c>
      <c r="T15" s="28">
        <f>IF(R15="Non éligible",0,P15*Paramètres!$C$20)</f>
        <v>0</v>
      </c>
      <c r="U15" s="28">
        <f>IF(R15="Non éligible",0,Q15*Paramètres!$C$21)</f>
        <v>0</v>
      </c>
      <c r="V15" s="28">
        <f>IF(AND(R15&lt;&gt;"Non éligible",E15&gt;0,J15&gt;=E15),Paramètres!$C$22,0)</f>
        <v>0</v>
      </c>
      <c r="W15" s="28">
        <f t="shared" si="5"/>
        <v>0</v>
      </c>
      <c r="X15" s="24">
        <f t="shared" si="6"/>
        <v>10</v>
      </c>
      <c r="Y15" s="29">
        <f t="shared" si="7"/>
        <v>9.8500000000000006E-6</v>
      </c>
    </row>
    <row r="16" spans="1:25" x14ac:dyDescent="0.45">
      <c r="A16" s="24" t="str">
        <f>'Saisie B2C'!A16</f>
        <v>YANKEE</v>
      </c>
      <c r="B16" s="24" t="str">
        <f>'Saisie B2C'!B16</f>
        <v>pvt_rgz_dalexis.ftth</v>
      </c>
      <c r="C16" s="24" t="str">
        <f>'Saisie B2C'!C16</f>
        <v>Oui</v>
      </c>
      <c r="D16" s="25">
        <v>15</v>
      </c>
      <c r="E16" s="25">
        <v>0</v>
      </c>
      <c r="F16" s="24">
        <f t="shared" si="0"/>
        <v>15</v>
      </c>
      <c r="G16" s="26">
        <f>F16/Paramètres!$B$9</f>
        <v>0.68181818181818177</v>
      </c>
      <c r="H16" s="25">
        <v>6</v>
      </c>
      <c r="I16" s="24">
        <f>SUM('Saisie B2C'!D16:AH16)</f>
        <v>0</v>
      </c>
      <c r="J16" s="24">
        <f>SUM('Saisie B2B'!D16:AH16)</f>
        <v>0</v>
      </c>
      <c r="K16" s="24">
        <f t="shared" si="1"/>
        <v>0</v>
      </c>
      <c r="L16" s="27">
        <f t="shared" si="2"/>
        <v>0</v>
      </c>
      <c r="M16" s="26">
        <f>F16*Paramètres!$B$11/Paramètres!$B$9</f>
        <v>0.68181818181818177</v>
      </c>
      <c r="N16" s="27">
        <f t="shared" si="3"/>
        <v>0</v>
      </c>
      <c r="O16" s="24">
        <f t="shared" si="4"/>
        <v>15</v>
      </c>
      <c r="P16" s="24">
        <f>IF(F16&gt;0,SUMPRODUCT(('Saisie B2C'!D16:AH16+'Saisie B2B'!D16:AH16&gt;=G16)*(Paramètres!$B$7:$AF$7=1)*(Paramètres!$B$4:$AF$4&lt;=Paramètres!$B$10)),0)</f>
        <v>0</v>
      </c>
      <c r="Q16" s="24">
        <f>COUNTIF('Calcul quotidien'!$D$96:$AH$96,B16)</f>
        <v>0</v>
      </c>
      <c r="R16" s="24" t="str">
        <f>IF(OR(F16=0,C16&lt;&gt;"Oui"),"Non éligible",INDEX(Paramètres!$A$15:$A$18,MATCH(L16,Paramètres!$B$15:$B$18,1)))</f>
        <v>Aucun</v>
      </c>
      <c r="S16" s="28">
        <f>IF(R16="Non éligible",0,INDEX(Paramètres!$C$15:$C$18,MATCH(L16,Paramètres!$B$15:$B$18,1)))</f>
        <v>0</v>
      </c>
      <c r="T16" s="28">
        <f>IF(R16="Non éligible",0,P16*Paramètres!$C$20)</f>
        <v>0</v>
      </c>
      <c r="U16" s="28">
        <f>IF(R16="Non éligible",0,Q16*Paramètres!$C$21)</f>
        <v>0</v>
      </c>
      <c r="V16" s="28">
        <f>IF(AND(R16&lt;&gt;"Non éligible",E16&gt;0,J16&gt;=E16),Paramètres!$C$22,0)</f>
        <v>0</v>
      </c>
      <c r="W16" s="28">
        <f t="shared" si="5"/>
        <v>0</v>
      </c>
      <c r="X16" s="24">
        <f t="shared" si="6"/>
        <v>11</v>
      </c>
      <c r="Y16" s="29">
        <f t="shared" si="7"/>
        <v>9.8400000000000007E-6</v>
      </c>
    </row>
    <row r="17" spans="1:25" x14ac:dyDescent="0.45">
      <c r="A17" s="24" t="str">
        <f>'Saisie B2C'!A17</f>
        <v>YANKEE</v>
      </c>
      <c r="B17" s="24" t="str">
        <f>'Saisie B2C'!B17</f>
        <v>pvt_rgz_eulisse.ftth</v>
      </c>
      <c r="C17" s="24" t="str">
        <f>'Saisie B2C'!C17</f>
        <v>Oui</v>
      </c>
      <c r="D17" s="25">
        <v>10</v>
      </c>
      <c r="E17" s="25">
        <v>0</v>
      </c>
      <c r="F17" s="24">
        <f t="shared" si="0"/>
        <v>10</v>
      </c>
      <c r="G17" s="26">
        <f>F17/Paramètres!$B$9</f>
        <v>0.45454545454545453</v>
      </c>
      <c r="H17" s="25">
        <v>1</v>
      </c>
      <c r="I17" s="24">
        <f>SUM('Saisie B2C'!D17:AH17)</f>
        <v>0</v>
      </c>
      <c r="J17" s="24">
        <f>SUM('Saisie B2B'!D17:AH17)</f>
        <v>0</v>
      </c>
      <c r="K17" s="24">
        <f t="shared" si="1"/>
        <v>0</v>
      </c>
      <c r="L17" s="27">
        <f t="shared" si="2"/>
        <v>0</v>
      </c>
      <c r="M17" s="26">
        <f>F17*Paramètres!$B$11/Paramètres!$B$9</f>
        <v>0.45454545454545453</v>
      </c>
      <c r="N17" s="27">
        <f t="shared" si="3"/>
        <v>0</v>
      </c>
      <c r="O17" s="24">
        <f t="shared" si="4"/>
        <v>10</v>
      </c>
      <c r="P17" s="24">
        <f>IF(F17&gt;0,SUMPRODUCT(('Saisie B2C'!D17:AH17+'Saisie B2B'!D17:AH17&gt;=G17)*(Paramètres!$B$7:$AF$7=1)*(Paramètres!$B$4:$AF$4&lt;=Paramètres!$B$10)),0)</f>
        <v>0</v>
      </c>
      <c r="Q17" s="24">
        <f>COUNTIF('Calcul quotidien'!$D$96:$AH$96,B17)</f>
        <v>0</v>
      </c>
      <c r="R17" s="24" t="str">
        <f>IF(OR(F17=0,C17&lt;&gt;"Oui"),"Non éligible",INDEX(Paramètres!$A$15:$A$18,MATCH(L17,Paramètres!$B$15:$B$18,1)))</f>
        <v>Aucun</v>
      </c>
      <c r="S17" s="28">
        <f>IF(R17="Non éligible",0,INDEX(Paramètres!$C$15:$C$18,MATCH(L17,Paramètres!$B$15:$B$18,1)))</f>
        <v>0</v>
      </c>
      <c r="T17" s="28">
        <f>IF(R17="Non éligible",0,P17*Paramètres!$C$20)</f>
        <v>0</v>
      </c>
      <c r="U17" s="28">
        <f>IF(R17="Non éligible",0,Q17*Paramètres!$C$21)</f>
        <v>0</v>
      </c>
      <c r="V17" s="28">
        <f>IF(AND(R17&lt;&gt;"Non éligible",E17&gt;0,J17&gt;=E17),Paramètres!$C$22,0)</f>
        <v>0</v>
      </c>
      <c r="W17" s="28">
        <f t="shared" si="5"/>
        <v>0</v>
      </c>
      <c r="X17" s="24">
        <f t="shared" si="6"/>
        <v>12</v>
      </c>
      <c r="Y17" s="29">
        <f t="shared" si="7"/>
        <v>9.8300000000000008E-6</v>
      </c>
    </row>
    <row r="18" spans="1:25" x14ac:dyDescent="0.45">
      <c r="A18" s="24" t="str">
        <f>'Saisie B2C'!A18</f>
        <v>YANKEE</v>
      </c>
      <c r="B18" s="24" t="str">
        <f>'Saisie B2C'!B18</f>
        <v>pvt_rgz_hgilles.ftth</v>
      </c>
      <c r="C18" s="24" t="str">
        <f>'Saisie B2C'!C18</f>
        <v>Non</v>
      </c>
      <c r="D18" s="25">
        <v>0</v>
      </c>
      <c r="E18" s="25">
        <v>0</v>
      </c>
      <c r="F18" s="24">
        <f t="shared" si="0"/>
        <v>0</v>
      </c>
      <c r="G18" s="26">
        <f>F18/Paramètres!$B$9</f>
        <v>0</v>
      </c>
      <c r="H18" s="25">
        <v>1</v>
      </c>
      <c r="I18" s="24">
        <f>SUM('Saisie B2C'!D18:AH18)</f>
        <v>0</v>
      </c>
      <c r="J18" s="24">
        <f>SUM('Saisie B2B'!D18:AH18)</f>
        <v>0</v>
      </c>
      <c r="K18" s="24">
        <f t="shared" si="1"/>
        <v>0</v>
      </c>
      <c r="L18" s="27" t="str">
        <f t="shared" si="2"/>
        <v/>
      </c>
      <c r="M18" s="26">
        <f>F18*Paramètres!$B$11/Paramètres!$B$9</f>
        <v>0</v>
      </c>
      <c r="N18" s="27" t="str">
        <f t="shared" si="3"/>
        <v/>
      </c>
      <c r="O18" s="24" t="str">
        <f t="shared" si="4"/>
        <v/>
      </c>
      <c r="P18" s="24">
        <f>IF(F18&gt;0,SUMPRODUCT(('Saisie B2C'!D18:AH18+'Saisie B2B'!D18:AH18&gt;=G18)*(Paramètres!$B$7:$AF$7=1)*(Paramètres!$B$4:$AF$4&lt;=Paramètres!$B$10)),0)</f>
        <v>0</v>
      </c>
      <c r="Q18" s="24">
        <f>COUNTIF('Calcul quotidien'!$D$96:$AH$96,B18)</f>
        <v>0</v>
      </c>
      <c r="R18" s="24" t="str">
        <f>IF(OR(F18=0,C18&lt;&gt;"Oui"),"Non éligible",INDEX(Paramètres!$A$15:$A$18,MATCH(L18,Paramètres!$B$15:$B$18,1)))</f>
        <v>Non éligible</v>
      </c>
      <c r="S18" s="28">
        <f>IF(R18="Non éligible",0,INDEX(Paramètres!$C$15:$C$18,MATCH(L18,Paramètres!$B$15:$B$18,1)))</f>
        <v>0</v>
      </c>
      <c r="T18" s="28">
        <f>IF(R18="Non éligible",0,P18*Paramètres!$C$20)</f>
        <v>0</v>
      </c>
      <c r="U18" s="28">
        <f>IF(R18="Non éligible",0,Q18*Paramètres!$C$21)</f>
        <v>0</v>
      </c>
      <c r="V18" s="28">
        <f>IF(AND(R18&lt;&gt;"Non éligible",E18&gt;0,J18&gt;=E18),Paramètres!$C$22,0)</f>
        <v>0</v>
      </c>
      <c r="W18" s="28">
        <f t="shared" si="5"/>
        <v>0</v>
      </c>
      <c r="X18" s="24" t="str">
        <f t="shared" si="6"/>
        <v/>
      </c>
      <c r="Y18" s="29">
        <f t="shared" si="7"/>
        <v>-1</v>
      </c>
    </row>
    <row r="19" spans="1:25" x14ac:dyDescent="0.45">
      <c r="A19" s="24" t="str">
        <f>'Saisie B2C'!A19</f>
        <v>ALPHA</v>
      </c>
      <c r="B19" s="24" t="str">
        <f>'Saisie B2C'!B19</f>
        <v>pms_rgz_tgloria.ftth</v>
      </c>
      <c r="C19" s="24" t="str">
        <f>'Saisie B2C'!C19</f>
        <v>Oui</v>
      </c>
      <c r="D19" s="25">
        <v>29</v>
      </c>
      <c r="E19" s="25">
        <v>24</v>
      </c>
      <c r="F19" s="24">
        <f t="shared" si="0"/>
        <v>53</v>
      </c>
      <c r="G19" s="26">
        <f>F19/Paramètres!$B$9</f>
        <v>2.4090909090909092</v>
      </c>
      <c r="H19" s="25">
        <v>46</v>
      </c>
      <c r="I19" s="24">
        <f>SUM('Saisie B2C'!D19:AH19)</f>
        <v>0</v>
      </c>
      <c r="J19" s="24">
        <f>SUM('Saisie B2B'!D19:AH19)</f>
        <v>0</v>
      </c>
      <c r="K19" s="24">
        <f t="shared" si="1"/>
        <v>0</v>
      </c>
      <c r="L19" s="27">
        <f t="shared" si="2"/>
        <v>0</v>
      </c>
      <c r="M19" s="26">
        <f>F19*Paramètres!$B$11/Paramètres!$B$9</f>
        <v>2.4090909090909092</v>
      </c>
      <c r="N19" s="27">
        <f t="shared" si="3"/>
        <v>0</v>
      </c>
      <c r="O19" s="24">
        <f t="shared" si="4"/>
        <v>53</v>
      </c>
      <c r="P19" s="24">
        <f>IF(F19&gt;0,SUMPRODUCT(('Saisie B2C'!D19:AH19+'Saisie B2B'!D19:AH19&gt;=G19)*(Paramètres!$B$7:$AF$7=1)*(Paramètres!$B$4:$AF$4&lt;=Paramètres!$B$10)),0)</f>
        <v>0</v>
      </c>
      <c r="Q19" s="24">
        <f>COUNTIF('Calcul quotidien'!$D$96:$AH$96,B19)</f>
        <v>0</v>
      </c>
      <c r="R19" s="24" t="str">
        <f>IF(OR(F19=0,C19&lt;&gt;"Oui"),"Non éligible",INDEX(Paramètres!$A$15:$A$18,MATCH(L19,Paramètres!$B$15:$B$18,1)))</f>
        <v>Aucun</v>
      </c>
      <c r="S19" s="28">
        <f>IF(R19="Non éligible",0,INDEX(Paramètres!$C$15:$C$18,MATCH(L19,Paramètres!$B$15:$B$18,1)))</f>
        <v>0</v>
      </c>
      <c r="T19" s="28">
        <f>IF(R19="Non éligible",0,P19*Paramètres!$C$20)</f>
        <v>0</v>
      </c>
      <c r="U19" s="28">
        <f>IF(R19="Non éligible",0,Q19*Paramètres!$C$21)</f>
        <v>0</v>
      </c>
      <c r="V19" s="28">
        <f>IF(AND(R19&lt;&gt;"Non éligible",E19&gt;0,J19&gt;=E19),Paramètres!$C$22,0)</f>
        <v>0</v>
      </c>
      <c r="W19" s="28">
        <f t="shared" si="5"/>
        <v>0</v>
      </c>
      <c r="X19" s="24">
        <f t="shared" si="6"/>
        <v>13</v>
      </c>
      <c r="Y19" s="29">
        <f t="shared" si="7"/>
        <v>9.8099999999999992E-6</v>
      </c>
    </row>
    <row r="20" spans="1:25" x14ac:dyDescent="0.45">
      <c r="A20" s="24" t="str">
        <f>'Saisie B2C'!A20</f>
        <v>ALPHA</v>
      </c>
      <c r="B20" s="24" t="str">
        <f>'Saisie B2C'!B20</f>
        <v>pms_rgz_dconstant.ftth</v>
      </c>
      <c r="C20" s="24" t="str">
        <f>'Saisie B2C'!C20</f>
        <v>Oui</v>
      </c>
      <c r="D20" s="25">
        <v>25</v>
      </c>
      <c r="E20" s="25">
        <v>4</v>
      </c>
      <c r="F20" s="24">
        <f t="shared" si="0"/>
        <v>29</v>
      </c>
      <c r="G20" s="26">
        <f>F20/Paramètres!$B$9</f>
        <v>1.3181818181818181</v>
      </c>
      <c r="H20" s="25">
        <v>21</v>
      </c>
      <c r="I20" s="24">
        <f>SUM('Saisie B2C'!D20:AH20)</f>
        <v>0</v>
      </c>
      <c r="J20" s="24">
        <f>SUM('Saisie B2B'!D20:AH20)</f>
        <v>0</v>
      </c>
      <c r="K20" s="24">
        <f t="shared" si="1"/>
        <v>0</v>
      </c>
      <c r="L20" s="27">
        <f t="shared" si="2"/>
        <v>0</v>
      </c>
      <c r="M20" s="26">
        <f>F20*Paramètres!$B$11/Paramètres!$B$9</f>
        <v>1.3181818181818181</v>
      </c>
      <c r="N20" s="27">
        <f t="shared" si="3"/>
        <v>0</v>
      </c>
      <c r="O20" s="24">
        <f t="shared" si="4"/>
        <v>29</v>
      </c>
      <c r="P20" s="24">
        <f>IF(F20&gt;0,SUMPRODUCT(('Saisie B2C'!D20:AH20+'Saisie B2B'!D20:AH20&gt;=G20)*(Paramètres!$B$7:$AF$7=1)*(Paramètres!$B$4:$AF$4&lt;=Paramètres!$B$10)),0)</f>
        <v>0</v>
      </c>
      <c r="Q20" s="24">
        <f>COUNTIF('Calcul quotidien'!$D$96:$AH$96,B20)</f>
        <v>0</v>
      </c>
      <c r="R20" s="24" t="str">
        <f>IF(OR(F20=0,C20&lt;&gt;"Oui"),"Non éligible",INDEX(Paramètres!$A$15:$A$18,MATCH(L20,Paramètres!$B$15:$B$18,1)))</f>
        <v>Aucun</v>
      </c>
      <c r="S20" s="28">
        <f>IF(R20="Non éligible",0,INDEX(Paramètres!$C$15:$C$18,MATCH(L20,Paramètres!$B$15:$B$18,1)))</f>
        <v>0</v>
      </c>
      <c r="T20" s="28">
        <f>IF(R20="Non éligible",0,P20*Paramètres!$C$20)</f>
        <v>0</v>
      </c>
      <c r="U20" s="28">
        <f>IF(R20="Non éligible",0,Q20*Paramètres!$C$21)</f>
        <v>0</v>
      </c>
      <c r="V20" s="28">
        <f>IF(AND(R20&lt;&gt;"Non éligible",E20&gt;0,J20&gt;=E20),Paramètres!$C$22,0)</f>
        <v>0</v>
      </c>
      <c r="W20" s="28">
        <f t="shared" si="5"/>
        <v>0</v>
      </c>
      <c r="X20" s="24">
        <f t="shared" si="6"/>
        <v>14</v>
      </c>
      <c r="Y20" s="29">
        <f t="shared" si="7"/>
        <v>9.7999999999999993E-6</v>
      </c>
    </row>
    <row r="21" spans="1:25" x14ac:dyDescent="0.45">
      <c r="A21" s="24" t="str">
        <f>'Saisie B2C'!A21</f>
        <v>ALPHA</v>
      </c>
      <c r="B21" s="24" t="str">
        <f>'Saisie B2C'!B21</f>
        <v>pvt_rgz_bboris.ftth</v>
      </c>
      <c r="C21" s="24" t="str">
        <f>'Saisie B2C'!C21</f>
        <v>Oui</v>
      </c>
      <c r="D21" s="25">
        <v>16</v>
      </c>
      <c r="E21" s="25">
        <v>2</v>
      </c>
      <c r="F21" s="24">
        <f t="shared" si="0"/>
        <v>18</v>
      </c>
      <c r="G21" s="26">
        <f>F21/Paramètres!$B$9</f>
        <v>0.81818181818181823</v>
      </c>
      <c r="H21" s="25">
        <v>10</v>
      </c>
      <c r="I21" s="24">
        <f>SUM('Saisie B2C'!D21:AH21)</f>
        <v>0</v>
      </c>
      <c r="J21" s="24">
        <f>SUM('Saisie B2B'!D21:AH21)</f>
        <v>0</v>
      </c>
      <c r="K21" s="24">
        <f t="shared" si="1"/>
        <v>0</v>
      </c>
      <c r="L21" s="27">
        <f t="shared" si="2"/>
        <v>0</v>
      </c>
      <c r="M21" s="26">
        <f>F21*Paramètres!$B$11/Paramètres!$B$9</f>
        <v>0.81818181818181823</v>
      </c>
      <c r="N21" s="27">
        <f t="shared" si="3"/>
        <v>0</v>
      </c>
      <c r="O21" s="24">
        <f t="shared" si="4"/>
        <v>18</v>
      </c>
      <c r="P21" s="24">
        <f>IF(F21&gt;0,SUMPRODUCT(('Saisie B2C'!D21:AH21+'Saisie B2B'!D21:AH21&gt;=G21)*(Paramètres!$B$7:$AF$7=1)*(Paramètres!$B$4:$AF$4&lt;=Paramètres!$B$10)),0)</f>
        <v>0</v>
      </c>
      <c r="Q21" s="24">
        <f>COUNTIF('Calcul quotidien'!$D$96:$AH$96,B21)</f>
        <v>0</v>
      </c>
      <c r="R21" s="24" t="str">
        <f>IF(OR(F21=0,C21&lt;&gt;"Oui"),"Non éligible",INDEX(Paramètres!$A$15:$A$18,MATCH(L21,Paramètres!$B$15:$B$18,1)))</f>
        <v>Aucun</v>
      </c>
      <c r="S21" s="28">
        <f>IF(R21="Non éligible",0,INDEX(Paramètres!$C$15:$C$18,MATCH(L21,Paramètres!$B$15:$B$18,1)))</f>
        <v>0</v>
      </c>
      <c r="T21" s="28">
        <f>IF(R21="Non éligible",0,P21*Paramètres!$C$20)</f>
        <v>0</v>
      </c>
      <c r="U21" s="28">
        <f>IF(R21="Non éligible",0,Q21*Paramètres!$C$21)</f>
        <v>0</v>
      </c>
      <c r="V21" s="28">
        <f>IF(AND(R21&lt;&gt;"Non éligible",E21&gt;0,J21&gt;=E21),Paramètres!$C$22,0)</f>
        <v>0</v>
      </c>
      <c r="W21" s="28">
        <f t="shared" si="5"/>
        <v>0</v>
      </c>
      <c r="X21" s="24">
        <f t="shared" si="6"/>
        <v>15</v>
      </c>
      <c r="Y21" s="29">
        <f t="shared" si="7"/>
        <v>9.7899999999999994E-6</v>
      </c>
    </row>
    <row r="22" spans="1:25" x14ac:dyDescent="0.45">
      <c r="A22" s="24" t="str">
        <f>'Saisie B2C'!A22</f>
        <v>TANGO</v>
      </c>
      <c r="B22" s="24" t="str">
        <f>'Saisie B2C'!B22</f>
        <v>pvt_rgz_dthibaut.ftth</v>
      </c>
      <c r="C22" s="24" t="str">
        <f>'Saisie B2C'!C22</f>
        <v>Oui</v>
      </c>
      <c r="D22" s="25">
        <v>62</v>
      </c>
      <c r="E22" s="25">
        <v>0</v>
      </c>
      <c r="F22" s="24">
        <f t="shared" si="0"/>
        <v>62</v>
      </c>
      <c r="G22" s="26">
        <f>F22/Paramètres!$B$9</f>
        <v>2.8181818181818183</v>
      </c>
      <c r="H22" s="25">
        <v>67</v>
      </c>
      <c r="I22" s="24">
        <f>SUM('Saisie B2C'!D22:AH22)</f>
        <v>0</v>
      </c>
      <c r="J22" s="24">
        <f>SUM('Saisie B2B'!D22:AH22)</f>
        <v>0</v>
      </c>
      <c r="K22" s="24">
        <f t="shared" si="1"/>
        <v>0</v>
      </c>
      <c r="L22" s="27">
        <f t="shared" si="2"/>
        <v>0</v>
      </c>
      <c r="M22" s="26">
        <f>F22*Paramètres!$B$11/Paramètres!$B$9</f>
        <v>2.8181818181818183</v>
      </c>
      <c r="N22" s="27">
        <f t="shared" si="3"/>
        <v>0</v>
      </c>
      <c r="O22" s="24">
        <f t="shared" si="4"/>
        <v>62</v>
      </c>
      <c r="P22" s="24">
        <f>IF(F22&gt;0,SUMPRODUCT(('Saisie B2C'!D22:AH22+'Saisie B2B'!D22:AH22&gt;=G22)*(Paramètres!$B$7:$AF$7=1)*(Paramètres!$B$4:$AF$4&lt;=Paramètres!$B$10)),0)</f>
        <v>0</v>
      </c>
      <c r="Q22" s="24">
        <f>COUNTIF('Calcul quotidien'!$D$96:$AH$96,B22)</f>
        <v>0</v>
      </c>
      <c r="R22" s="24" t="str">
        <f>IF(OR(F22=0,C22&lt;&gt;"Oui"),"Non éligible",INDEX(Paramètres!$A$15:$A$18,MATCH(L22,Paramètres!$B$15:$B$18,1)))</f>
        <v>Aucun</v>
      </c>
      <c r="S22" s="28">
        <f>IF(R22="Non éligible",0,INDEX(Paramètres!$C$15:$C$18,MATCH(L22,Paramètres!$B$15:$B$18,1)))</f>
        <v>0</v>
      </c>
      <c r="T22" s="28">
        <f>IF(R22="Non éligible",0,P22*Paramètres!$C$20)</f>
        <v>0</v>
      </c>
      <c r="U22" s="28">
        <f>IF(R22="Non éligible",0,Q22*Paramètres!$C$21)</f>
        <v>0</v>
      </c>
      <c r="V22" s="28">
        <f>IF(AND(R22&lt;&gt;"Non éligible",E22&gt;0,J22&gt;=E22),Paramètres!$C$22,0)</f>
        <v>0</v>
      </c>
      <c r="W22" s="28">
        <f t="shared" si="5"/>
        <v>0</v>
      </c>
      <c r="X22" s="24">
        <f t="shared" si="6"/>
        <v>16</v>
      </c>
      <c r="Y22" s="29">
        <f t="shared" si="7"/>
        <v>9.7799999999999995E-6</v>
      </c>
    </row>
    <row r="23" spans="1:25" x14ac:dyDescent="0.45">
      <c r="A23" s="24" t="str">
        <f>'Saisie B2C'!A23</f>
        <v>TANGO</v>
      </c>
      <c r="B23" s="24" t="str">
        <f>'Saisie B2C'!B23</f>
        <v>pms_rgz_hfrancine.ftth</v>
      </c>
      <c r="C23" s="24" t="str">
        <f>'Saisie B2C'!C23</f>
        <v>Oui</v>
      </c>
      <c r="D23" s="25">
        <v>48</v>
      </c>
      <c r="E23" s="25">
        <v>2</v>
      </c>
      <c r="F23" s="24">
        <f t="shared" si="0"/>
        <v>50</v>
      </c>
      <c r="G23" s="26">
        <f>F23/Paramètres!$B$9</f>
        <v>2.2727272727272729</v>
      </c>
      <c r="H23" s="25">
        <v>48</v>
      </c>
      <c r="I23" s="24">
        <f>SUM('Saisie B2C'!D23:AH23)</f>
        <v>0</v>
      </c>
      <c r="J23" s="24">
        <f>SUM('Saisie B2B'!D23:AH23)</f>
        <v>0</v>
      </c>
      <c r="K23" s="24">
        <f t="shared" si="1"/>
        <v>0</v>
      </c>
      <c r="L23" s="27">
        <f t="shared" si="2"/>
        <v>0</v>
      </c>
      <c r="M23" s="26">
        <f>F23*Paramètres!$B$11/Paramètres!$B$9</f>
        <v>2.2727272727272729</v>
      </c>
      <c r="N23" s="27">
        <f t="shared" si="3"/>
        <v>0</v>
      </c>
      <c r="O23" s="24">
        <f t="shared" si="4"/>
        <v>50</v>
      </c>
      <c r="P23" s="24">
        <f>IF(F23&gt;0,SUMPRODUCT(('Saisie B2C'!D23:AH23+'Saisie B2B'!D23:AH23&gt;=G23)*(Paramètres!$B$7:$AF$7=1)*(Paramètres!$B$4:$AF$4&lt;=Paramètres!$B$10)),0)</f>
        <v>0</v>
      </c>
      <c r="Q23" s="24">
        <f>COUNTIF('Calcul quotidien'!$D$96:$AH$96,B23)</f>
        <v>0</v>
      </c>
      <c r="R23" s="24" t="str">
        <f>IF(OR(F23=0,C23&lt;&gt;"Oui"),"Non éligible",INDEX(Paramètres!$A$15:$A$18,MATCH(L23,Paramètres!$B$15:$B$18,1)))</f>
        <v>Aucun</v>
      </c>
      <c r="S23" s="28">
        <f>IF(R23="Non éligible",0,INDEX(Paramètres!$C$15:$C$18,MATCH(L23,Paramètres!$B$15:$B$18,1)))</f>
        <v>0</v>
      </c>
      <c r="T23" s="28">
        <f>IF(R23="Non éligible",0,P23*Paramètres!$C$20)</f>
        <v>0</v>
      </c>
      <c r="U23" s="28">
        <f>IF(R23="Non éligible",0,Q23*Paramètres!$C$21)</f>
        <v>0</v>
      </c>
      <c r="V23" s="28">
        <f>IF(AND(R23&lt;&gt;"Non éligible",E23&gt;0,J23&gt;=E23),Paramètres!$C$22,0)</f>
        <v>0</v>
      </c>
      <c r="W23" s="28">
        <f t="shared" si="5"/>
        <v>0</v>
      </c>
      <c r="X23" s="24">
        <f t="shared" si="6"/>
        <v>17</v>
      </c>
      <c r="Y23" s="29">
        <f t="shared" si="7"/>
        <v>9.7699999999999996E-6</v>
      </c>
    </row>
    <row r="24" spans="1:25" x14ac:dyDescent="0.45">
      <c r="A24" s="24" t="str">
        <f>'Saisie B2C'!A24</f>
        <v>TANGO</v>
      </c>
      <c r="B24" s="24" t="str">
        <f>'Saisie B2C'!B24</f>
        <v>pvt_rgz_wdiane.ftth</v>
      </c>
      <c r="C24" s="24" t="str">
        <f>'Saisie B2C'!C24</f>
        <v>Oui</v>
      </c>
      <c r="D24" s="25">
        <v>46</v>
      </c>
      <c r="E24" s="25">
        <v>5</v>
      </c>
      <c r="F24" s="24">
        <f t="shared" si="0"/>
        <v>51</v>
      </c>
      <c r="G24" s="26">
        <f>F24/Paramètres!$B$9</f>
        <v>2.3181818181818183</v>
      </c>
      <c r="H24" s="25">
        <v>46</v>
      </c>
      <c r="I24" s="24">
        <f>SUM('Saisie B2C'!D24:AH24)</f>
        <v>0</v>
      </c>
      <c r="J24" s="24">
        <f>SUM('Saisie B2B'!D24:AH24)</f>
        <v>0</v>
      </c>
      <c r="K24" s="24">
        <f t="shared" si="1"/>
        <v>0</v>
      </c>
      <c r="L24" s="27">
        <f t="shared" si="2"/>
        <v>0</v>
      </c>
      <c r="M24" s="26">
        <f>F24*Paramètres!$B$11/Paramètres!$B$9</f>
        <v>2.3181818181818183</v>
      </c>
      <c r="N24" s="27">
        <f t="shared" si="3"/>
        <v>0</v>
      </c>
      <c r="O24" s="24">
        <f t="shared" si="4"/>
        <v>51</v>
      </c>
      <c r="P24" s="24">
        <f>IF(F24&gt;0,SUMPRODUCT(('Saisie B2C'!D24:AH24+'Saisie B2B'!D24:AH24&gt;=G24)*(Paramètres!$B$7:$AF$7=1)*(Paramètres!$B$4:$AF$4&lt;=Paramètres!$B$10)),0)</f>
        <v>0</v>
      </c>
      <c r="Q24" s="24">
        <f>COUNTIF('Calcul quotidien'!$D$96:$AH$96,B24)</f>
        <v>0</v>
      </c>
      <c r="R24" s="24" t="str">
        <f>IF(OR(F24=0,C24&lt;&gt;"Oui"),"Non éligible",INDEX(Paramètres!$A$15:$A$18,MATCH(L24,Paramètres!$B$15:$B$18,1)))</f>
        <v>Aucun</v>
      </c>
      <c r="S24" s="28">
        <f>IF(R24="Non éligible",0,INDEX(Paramètres!$C$15:$C$18,MATCH(L24,Paramètres!$B$15:$B$18,1)))</f>
        <v>0</v>
      </c>
      <c r="T24" s="28">
        <f>IF(R24="Non éligible",0,P24*Paramètres!$C$20)</f>
        <v>0</v>
      </c>
      <c r="U24" s="28">
        <f>IF(R24="Non éligible",0,Q24*Paramètres!$C$21)</f>
        <v>0</v>
      </c>
      <c r="V24" s="28">
        <f>IF(AND(R24&lt;&gt;"Non éligible",E24&gt;0,J24&gt;=E24),Paramètres!$C$22,0)</f>
        <v>0</v>
      </c>
      <c r="W24" s="28">
        <f t="shared" si="5"/>
        <v>0</v>
      </c>
      <c r="X24" s="24">
        <f t="shared" si="6"/>
        <v>18</v>
      </c>
      <c r="Y24" s="29">
        <f t="shared" si="7"/>
        <v>9.7599999999999997E-6</v>
      </c>
    </row>
    <row r="25" spans="1:25" x14ac:dyDescent="0.45">
      <c r="A25" s="24" t="str">
        <f>'Saisie B2C'!A25</f>
        <v>TANGO</v>
      </c>
      <c r="B25" s="24" t="str">
        <f>'Saisie B2C'!B25</f>
        <v>pvt_rgz_gsahoui.ftth</v>
      </c>
      <c r="C25" s="24" t="str">
        <f>'Saisie B2C'!C25</f>
        <v>Oui</v>
      </c>
      <c r="D25" s="25">
        <v>44</v>
      </c>
      <c r="E25" s="25">
        <v>3</v>
      </c>
      <c r="F25" s="24">
        <f t="shared" si="0"/>
        <v>47</v>
      </c>
      <c r="G25" s="26">
        <f>F25/Paramètres!$B$9</f>
        <v>2.1363636363636362</v>
      </c>
      <c r="H25" s="25">
        <v>46</v>
      </c>
      <c r="I25" s="24">
        <f>SUM('Saisie B2C'!D25:AH25)</f>
        <v>0</v>
      </c>
      <c r="J25" s="24">
        <f>SUM('Saisie B2B'!D25:AH25)</f>
        <v>0</v>
      </c>
      <c r="K25" s="24">
        <f t="shared" si="1"/>
        <v>0</v>
      </c>
      <c r="L25" s="27">
        <f t="shared" si="2"/>
        <v>0</v>
      </c>
      <c r="M25" s="26">
        <f>F25*Paramètres!$B$11/Paramètres!$B$9</f>
        <v>2.1363636363636362</v>
      </c>
      <c r="N25" s="27">
        <f t="shared" si="3"/>
        <v>0</v>
      </c>
      <c r="O25" s="24">
        <f t="shared" si="4"/>
        <v>47</v>
      </c>
      <c r="P25" s="24">
        <f>IF(F25&gt;0,SUMPRODUCT(('Saisie B2C'!D25:AH25+'Saisie B2B'!D25:AH25&gt;=G25)*(Paramètres!$B$7:$AF$7=1)*(Paramètres!$B$4:$AF$4&lt;=Paramètres!$B$10)),0)</f>
        <v>0</v>
      </c>
      <c r="Q25" s="24">
        <f>COUNTIF('Calcul quotidien'!$D$96:$AH$96,B25)</f>
        <v>0</v>
      </c>
      <c r="R25" s="24" t="str">
        <f>IF(OR(F25=0,C25&lt;&gt;"Oui"),"Non éligible",INDEX(Paramètres!$A$15:$A$18,MATCH(L25,Paramètres!$B$15:$B$18,1)))</f>
        <v>Aucun</v>
      </c>
      <c r="S25" s="28">
        <f>IF(R25="Non éligible",0,INDEX(Paramètres!$C$15:$C$18,MATCH(L25,Paramètres!$B$15:$B$18,1)))</f>
        <v>0</v>
      </c>
      <c r="T25" s="28">
        <f>IF(R25="Non éligible",0,P25*Paramètres!$C$20)</f>
        <v>0</v>
      </c>
      <c r="U25" s="28">
        <f>IF(R25="Non éligible",0,Q25*Paramètres!$C$21)</f>
        <v>0</v>
      </c>
      <c r="V25" s="28">
        <f>IF(AND(R25&lt;&gt;"Non éligible",E25&gt;0,J25&gt;=E25),Paramètres!$C$22,0)</f>
        <v>0</v>
      </c>
      <c r="W25" s="28">
        <f t="shared" si="5"/>
        <v>0</v>
      </c>
      <c r="X25" s="24">
        <f t="shared" si="6"/>
        <v>19</v>
      </c>
      <c r="Y25" s="29">
        <f t="shared" si="7"/>
        <v>9.7499999999999998E-6</v>
      </c>
    </row>
    <row r="26" spans="1:25" x14ac:dyDescent="0.45">
      <c r="A26" s="24" t="str">
        <f>'Saisie B2C'!A26</f>
        <v>ZULU</v>
      </c>
      <c r="B26" s="24" t="str">
        <f>'Saisie B2C'!B26</f>
        <v>pvt-rgz-olouis.ftth</v>
      </c>
      <c r="C26" s="24" t="str">
        <f>'Saisie B2C'!C26</f>
        <v>Oui</v>
      </c>
      <c r="D26" s="25">
        <v>50</v>
      </c>
      <c r="E26" s="25">
        <v>10</v>
      </c>
      <c r="F26" s="24">
        <f t="shared" si="0"/>
        <v>60</v>
      </c>
      <c r="G26" s="26">
        <f>F26/Paramètres!$B$9</f>
        <v>2.7272727272727271</v>
      </c>
      <c r="H26" s="25">
        <v>34</v>
      </c>
      <c r="I26" s="24">
        <f>SUM('Saisie B2C'!D26:AH26)</f>
        <v>0</v>
      </c>
      <c r="J26" s="24">
        <f>SUM('Saisie B2B'!D26:AH26)</f>
        <v>0</v>
      </c>
      <c r="K26" s="24">
        <f t="shared" si="1"/>
        <v>0</v>
      </c>
      <c r="L26" s="27">
        <f t="shared" si="2"/>
        <v>0</v>
      </c>
      <c r="M26" s="26">
        <f>F26*Paramètres!$B$11/Paramètres!$B$9</f>
        <v>2.7272727272727271</v>
      </c>
      <c r="N26" s="27">
        <f t="shared" si="3"/>
        <v>0</v>
      </c>
      <c r="O26" s="24">
        <f t="shared" si="4"/>
        <v>60</v>
      </c>
      <c r="P26" s="24">
        <f>IF(F26&gt;0,SUMPRODUCT(('Saisie B2C'!D26:AH26+'Saisie B2B'!D26:AH26&gt;=G26)*(Paramètres!$B$7:$AF$7=1)*(Paramètres!$B$4:$AF$4&lt;=Paramètres!$B$10)),0)</f>
        <v>0</v>
      </c>
      <c r="Q26" s="24">
        <f>COUNTIF('Calcul quotidien'!$D$96:$AH$96,B26)</f>
        <v>0</v>
      </c>
      <c r="R26" s="24" t="str">
        <f>IF(OR(F26=0,C26&lt;&gt;"Oui"),"Non éligible",INDEX(Paramètres!$A$15:$A$18,MATCH(L26,Paramètres!$B$15:$B$18,1)))</f>
        <v>Aucun</v>
      </c>
      <c r="S26" s="28">
        <f>IF(R26="Non éligible",0,INDEX(Paramètres!$C$15:$C$18,MATCH(L26,Paramètres!$B$15:$B$18,1)))</f>
        <v>0</v>
      </c>
      <c r="T26" s="28">
        <f>IF(R26="Non éligible",0,P26*Paramètres!$C$20)</f>
        <v>0</v>
      </c>
      <c r="U26" s="28">
        <f>IF(R26="Non éligible",0,Q26*Paramètres!$C$21)</f>
        <v>0</v>
      </c>
      <c r="V26" s="28">
        <f>IF(AND(R26&lt;&gt;"Non éligible",E26&gt;0,J26&gt;=E26),Paramètres!$C$22,0)</f>
        <v>0</v>
      </c>
      <c r="W26" s="28">
        <f t="shared" si="5"/>
        <v>0</v>
      </c>
      <c r="X26" s="24">
        <f t="shared" si="6"/>
        <v>20</v>
      </c>
      <c r="Y26" s="29">
        <f t="shared" si="7"/>
        <v>9.7399999999999999E-6</v>
      </c>
    </row>
    <row r="27" spans="1:25" x14ac:dyDescent="0.45">
      <c r="A27" s="24" t="str">
        <f>'Saisie B2C'!A27</f>
        <v>ZULU</v>
      </c>
      <c r="B27" s="24" t="str">
        <f>'Saisie B2C'!B27</f>
        <v>pvt_rgz_ahugues.ftth</v>
      </c>
      <c r="C27" s="24" t="str">
        <f>'Saisie B2C'!C27</f>
        <v>Oui</v>
      </c>
      <c r="D27" s="25">
        <v>50</v>
      </c>
      <c r="E27" s="25">
        <v>10</v>
      </c>
      <c r="F27" s="24">
        <f t="shared" si="0"/>
        <v>60</v>
      </c>
      <c r="G27" s="26">
        <f>F27/Paramètres!$B$9</f>
        <v>2.7272727272727271</v>
      </c>
      <c r="H27" s="25">
        <v>26</v>
      </c>
      <c r="I27" s="24">
        <f>SUM('Saisie B2C'!D27:AH27)</f>
        <v>0</v>
      </c>
      <c r="J27" s="24">
        <f>SUM('Saisie B2B'!D27:AH27)</f>
        <v>0</v>
      </c>
      <c r="K27" s="24">
        <f t="shared" si="1"/>
        <v>0</v>
      </c>
      <c r="L27" s="27">
        <f t="shared" si="2"/>
        <v>0</v>
      </c>
      <c r="M27" s="26">
        <f>F27*Paramètres!$B$11/Paramètres!$B$9</f>
        <v>2.7272727272727271</v>
      </c>
      <c r="N27" s="27">
        <f t="shared" si="3"/>
        <v>0</v>
      </c>
      <c r="O27" s="24">
        <f t="shared" si="4"/>
        <v>60</v>
      </c>
      <c r="P27" s="24">
        <f>IF(F27&gt;0,SUMPRODUCT(('Saisie B2C'!D27:AH27+'Saisie B2B'!D27:AH27&gt;=G27)*(Paramètres!$B$7:$AF$7=1)*(Paramètres!$B$4:$AF$4&lt;=Paramètres!$B$10)),0)</f>
        <v>0</v>
      </c>
      <c r="Q27" s="24">
        <f>COUNTIF('Calcul quotidien'!$D$96:$AH$96,B27)</f>
        <v>0</v>
      </c>
      <c r="R27" s="24" t="str">
        <f>IF(OR(F27=0,C27&lt;&gt;"Oui"),"Non éligible",INDEX(Paramètres!$A$15:$A$18,MATCH(L27,Paramètres!$B$15:$B$18,1)))</f>
        <v>Aucun</v>
      </c>
      <c r="S27" s="28">
        <f>IF(R27="Non éligible",0,INDEX(Paramètres!$C$15:$C$18,MATCH(L27,Paramètres!$B$15:$B$18,1)))</f>
        <v>0</v>
      </c>
      <c r="T27" s="28">
        <f>IF(R27="Non éligible",0,P27*Paramètres!$C$20)</f>
        <v>0</v>
      </c>
      <c r="U27" s="28">
        <f>IF(R27="Non éligible",0,Q27*Paramètres!$C$21)</f>
        <v>0</v>
      </c>
      <c r="V27" s="28">
        <f>IF(AND(R27&lt;&gt;"Non éligible",E27&gt;0,J27&gt;=E27),Paramètres!$C$22,0)</f>
        <v>0</v>
      </c>
      <c r="W27" s="28">
        <f t="shared" si="5"/>
        <v>0</v>
      </c>
      <c r="X27" s="24">
        <f t="shared" si="6"/>
        <v>21</v>
      </c>
      <c r="Y27" s="29">
        <f t="shared" si="7"/>
        <v>9.73E-6</v>
      </c>
    </row>
    <row r="28" spans="1:25" x14ac:dyDescent="0.45">
      <c r="A28" s="24" t="str">
        <f>'Saisie B2C'!A28</f>
        <v>ZULU</v>
      </c>
      <c r="B28" s="24" t="str">
        <f>'Saisie B2C'!B28</f>
        <v>pvt_rgz_adidier.ftth</v>
      </c>
      <c r="C28" s="24" t="str">
        <f>'Saisie B2C'!C28</f>
        <v>Non</v>
      </c>
      <c r="D28" s="25">
        <v>0</v>
      </c>
      <c r="E28" s="25">
        <v>0</v>
      </c>
      <c r="F28" s="24">
        <f t="shared" si="0"/>
        <v>0</v>
      </c>
      <c r="G28" s="26">
        <f>F28/Paramètres!$B$9</f>
        <v>0</v>
      </c>
      <c r="H28" s="25">
        <v>1</v>
      </c>
      <c r="I28" s="24">
        <f>SUM('Saisie B2C'!D28:AH28)</f>
        <v>0</v>
      </c>
      <c r="J28" s="24">
        <f>SUM('Saisie B2B'!D28:AH28)</f>
        <v>0</v>
      </c>
      <c r="K28" s="24">
        <f t="shared" si="1"/>
        <v>0</v>
      </c>
      <c r="L28" s="27" t="str">
        <f t="shared" si="2"/>
        <v/>
      </c>
      <c r="M28" s="26">
        <f>F28*Paramètres!$B$11/Paramètres!$B$9</f>
        <v>0</v>
      </c>
      <c r="N28" s="27" t="str">
        <f t="shared" si="3"/>
        <v/>
      </c>
      <c r="O28" s="24" t="str">
        <f t="shared" si="4"/>
        <v/>
      </c>
      <c r="P28" s="24">
        <f>IF(F28&gt;0,SUMPRODUCT(('Saisie B2C'!D28:AH28+'Saisie B2B'!D28:AH28&gt;=G28)*(Paramètres!$B$7:$AF$7=1)*(Paramètres!$B$4:$AF$4&lt;=Paramètres!$B$10)),0)</f>
        <v>0</v>
      </c>
      <c r="Q28" s="24">
        <f>COUNTIF('Calcul quotidien'!$D$96:$AH$96,B28)</f>
        <v>0</v>
      </c>
      <c r="R28" s="24" t="str">
        <f>IF(OR(F28=0,C28&lt;&gt;"Oui"),"Non éligible",INDEX(Paramètres!$A$15:$A$18,MATCH(L28,Paramètres!$B$15:$B$18,1)))</f>
        <v>Non éligible</v>
      </c>
      <c r="S28" s="28">
        <f>IF(R28="Non éligible",0,INDEX(Paramètres!$C$15:$C$18,MATCH(L28,Paramètres!$B$15:$B$18,1)))</f>
        <v>0</v>
      </c>
      <c r="T28" s="28">
        <f>IF(R28="Non éligible",0,P28*Paramètres!$C$20)</f>
        <v>0</v>
      </c>
      <c r="U28" s="28">
        <f>IF(R28="Non éligible",0,Q28*Paramètres!$C$21)</f>
        <v>0</v>
      </c>
      <c r="V28" s="28">
        <f>IF(AND(R28&lt;&gt;"Non éligible",E28&gt;0,J28&gt;=E28),Paramètres!$C$22,0)</f>
        <v>0</v>
      </c>
      <c r="W28" s="28">
        <f t="shared" si="5"/>
        <v>0</v>
      </c>
      <c r="X28" s="24" t="str">
        <f t="shared" si="6"/>
        <v/>
      </c>
      <c r="Y28" s="29">
        <f t="shared" si="7"/>
        <v>-1</v>
      </c>
    </row>
    <row r="29" spans="1:25" x14ac:dyDescent="0.45">
      <c r="A29" s="24" t="str">
        <f>'Saisie B2C'!A29</f>
        <v>CHARLIE</v>
      </c>
      <c r="B29" s="24" t="str">
        <f>'Saisie B2C'!B29</f>
        <v>pms_rgz_wmarius.ftth</v>
      </c>
      <c r="C29" s="24" t="str">
        <f>'Saisie B2C'!C29</f>
        <v>Oui</v>
      </c>
      <c r="D29" s="25">
        <v>40</v>
      </c>
      <c r="E29" s="25">
        <v>5</v>
      </c>
      <c r="F29" s="24">
        <f t="shared" si="0"/>
        <v>45</v>
      </c>
      <c r="G29" s="26">
        <f>F29/Paramètres!$B$9</f>
        <v>2.0454545454545454</v>
      </c>
      <c r="H29" s="25">
        <v>30</v>
      </c>
      <c r="I29" s="24">
        <f>SUM('Saisie B2C'!D29:AH29)</f>
        <v>0</v>
      </c>
      <c r="J29" s="24">
        <f>SUM('Saisie B2B'!D29:AH29)</f>
        <v>0</v>
      </c>
      <c r="K29" s="24">
        <f t="shared" si="1"/>
        <v>0</v>
      </c>
      <c r="L29" s="27">
        <f t="shared" si="2"/>
        <v>0</v>
      </c>
      <c r="M29" s="26">
        <f>F29*Paramètres!$B$11/Paramètres!$B$9</f>
        <v>2.0454545454545454</v>
      </c>
      <c r="N29" s="27">
        <f t="shared" si="3"/>
        <v>0</v>
      </c>
      <c r="O29" s="24">
        <f t="shared" si="4"/>
        <v>45</v>
      </c>
      <c r="P29" s="24">
        <f>IF(F29&gt;0,SUMPRODUCT(('Saisie B2C'!D29:AH29+'Saisie B2B'!D29:AH29&gt;=G29)*(Paramètres!$B$7:$AF$7=1)*(Paramètres!$B$4:$AF$4&lt;=Paramètres!$B$10)),0)</f>
        <v>0</v>
      </c>
      <c r="Q29" s="24">
        <f>COUNTIF('Calcul quotidien'!$D$96:$AH$96,B29)</f>
        <v>0</v>
      </c>
      <c r="R29" s="24" t="str">
        <f>IF(OR(F29=0,C29&lt;&gt;"Oui"),"Non éligible",INDEX(Paramètres!$A$15:$A$18,MATCH(L29,Paramètres!$B$15:$B$18,1)))</f>
        <v>Aucun</v>
      </c>
      <c r="S29" s="28">
        <f>IF(R29="Non éligible",0,INDEX(Paramètres!$C$15:$C$18,MATCH(L29,Paramètres!$B$15:$B$18,1)))</f>
        <v>0</v>
      </c>
      <c r="T29" s="28">
        <f>IF(R29="Non éligible",0,P29*Paramètres!$C$20)</f>
        <v>0</v>
      </c>
      <c r="U29" s="28">
        <f>IF(R29="Non éligible",0,Q29*Paramètres!$C$21)</f>
        <v>0</v>
      </c>
      <c r="V29" s="28">
        <f>IF(AND(R29&lt;&gt;"Non éligible",E29&gt;0,J29&gt;=E29),Paramètres!$C$22,0)</f>
        <v>0</v>
      </c>
      <c r="W29" s="28">
        <f t="shared" si="5"/>
        <v>0</v>
      </c>
      <c r="X29" s="24">
        <f t="shared" si="6"/>
        <v>22</v>
      </c>
      <c r="Y29" s="29">
        <f t="shared" si="7"/>
        <v>9.7100000000000002E-6</v>
      </c>
    </row>
    <row r="30" spans="1:25" x14ac:dyDescent="0.45">
      <c r="A30" s="24" t="str">
        <f>'Saisie B2C'!A30</f>
        <v>CHARLIE</v>
      </c>
      <c r="B30" s="24" t="str">
        <f>'Saisie B2C'!B30</f>
        <v>pvt_rgz_tsylvia.ftth</v>
      </c>
      <c r="C30" s="24" t="str">
        <f>'Saisie B2C'!C30</f>
        <v>Oui</v>
      </c>
      <c r="D30" s="25">
        <v>30</v>
      </c>
      <c r="E30" s="25">
        <v>5</v>
      </c>
      <c r="F30" s="24">
        <f t="shared" si="0"/>
        <v>35</v>
      </c>
      <c r="G30" s="26">
        <f>F30/Paramètres!$B$9</f>
        <v>1.5909090909090908</v>
      </c>
      <c r="H30" s="25">
        <v>0</v>
      </c>
      <c r="I30" s="24">
        <f>SUM('Saisie B2C'!D30:AH30)</f>
        <v>0</v>
      </c>
      <c r="J30" s="24">
        <f>SUM('Saisie B2B'!D30:AH30)</f>
        <v>0</v>
      </c>
      <c r="K30" s="24">
        <f t="shared" si="1"/>
        <v>0</v>
      </c>
      <c r="L30" s="27">
        <f t="shared" si="2"/>
        <v>0</v>
      </c>
      <c r="M30" s="26">
        <f>F30*Paramètres!$B$11/Paramètres!$B$9</f>
        <v>1.5909090909090908</v>
      </c>
      <c r="N30" s="27">
        <f t="shared" si="3"/>
        <v>0</v>
      </c>
      <c r="O30" s="24">
        <f t="shared" si="4"/>
        <v>35</v>
      </c>
      <c r="P30" s="24">
        <f>IF(F30&gt;0,SUMPRODUCT(('Saisie B2C'!D30:AH30+'Saisie B2B'!D30:AH30&gt;=G30)*(Paramètres!$B$7:$AF$7=1)*(Paramètres!$B$4:$AF$4&lt;=Paramètres!$B$10)),0)</f>
        <v>0</v>
      </c>
      <c r="Q30" s="24">
        <f>COUNTIF('Calcul quotidien'!$D$96:$AH$96,B30)</f>
        <v>0</v>
      </c>
      <c r="R30" s="24" t="str">
        <f>IF(OR(F30=0,C30&lt;&gt;"Oui"),"Non éligible",INDEX(Paramètres!$A$15:$A$18,MATCH(L30,Paramètres!$B$15:$B$18,1)))</f>
        <v>Aucun</v>
      </c>
      <c r="S30" s="28">
        <f>IF(R30="Non éligible",0,INDEX(Paramètres!$C$15:$C$18,MATCH(L30,Paramètres!$B$15:$B$18,1)))</f>
        <v>0</v>
      </c>
      <c r="T30" s="28">
        <f>IF(R30="Non éligible",0,P30*Paramètres!$C$20)</f>
        <v>0</v>
      </c>
      <c r="U30" s="28">
        <f>IF(R30="Non éligible",0,Q30*Paramètres!$C$21)</f>
        <v>0</v>
      </c>
      <c r="V30" s="28">
        <f>IF(AND(R30&lt;&gt;"Non éligible",E30&gt;0,J30&gt;=E30),Paramètres!$C$22,0)</f>
        <v>0</v>
      </c>
      <c r="W30" s="28">
        <f t="shared" si="5"/>
        <v>0</v>
      </c>
      <c r="X30" s="24">
        <f t="shared" si="6"/>
        <v>23</v>
      </c>
      <c r="Y30" s="29">
        <f t="shared" si="7"/>
        <v>9.7000000000000003E-6</v>
      </c>
    </row>
    <row r="31" spans="1:25" x14ac:dyDescent="0.45">
      <c r="A31" s="24" t="str">
        <f>'Saisie B2C'!A31</f>
        <v>MIKE</v>
      </c>
      <c r="B31" s="24" t="str">
        <f>'Saisie B2C'!B31</f>
        <v>pvt_rgz_oalain.ftth</v>
      </c>
      <c r="C31" s="24" t="str">
        <f>'Saisie B2C'!C31</f>
        <v>Oui</v>
      </c>
      <c r="D31" s="25">
        <v>30</v>
      </c>
      <c r="E31" s="25">
        <v>1</v>
      </c>
      <c r="F31" s="24">
        <f t="shared" si="0"/>
        <v>31</v>
      </c>
      <c r="G31" s="26">
        <f>F31/Paramètres!$B$9</f>
        <v>1.4090909090909092</v>
      </c>
      <c r="H31" s="25">
        <v>45</v>
      </c>
      <c r="I31" s="24">
        <f>SUM('Saisie B2C'!D31:AH31)</f>
        <v>0</v>
      </c>
      <c r="J31" s="24">
        <f>SUM('Saisie B2B'!D31:AH31)</f>
        <v>0</v>
      </c>
      <c r="K31" s="24">
        <f t="shared" si="1"/>
        <v>0</v>
      </c>
      <c r="L31" s="27">
        <f t="shared" si="2"/>
        <v>0</v>
      </c>
      <c r="M31" s="26">
        <f>F31*Paramètres!$B$11/Paramètres!$B$9</f>
        <v>1.4090909090909092</v>
      </c>
      <c r="N31" s="27">
        <f t="shared" si="3"/>
        <v>0</v>
      </c>
      <c r="O31" s="24">
        <f t="shared" si="4"/>
        <v>31</v>
      </c>
      <c r="P31" s="24">
        <f>IF(F31&gt;0,SUMPRODUCT(('Saisie B2C'!D31:AH31+'Saisie B2B'!D31:AH31&gt;=G31)*(Paramètres!$B$7:$AF$7=1)*(Paramètres!$B$4:$AF$4&lt;=Paramètres!$B$10)),0)</f>
        <v>0</v>
      </c>
      <c r="Q31" s="24">
        <f>COUNTIF('Calcul quotidien'!$D$96:$AH$96,B31)</f>
        <v>0</v>
      </c>
      <c r="R31" s="24" t="str">
        <f>IF(OR(F31=0,C31&lt;&gt;"Oui"),"Non éligible",INDEX(Paramètres!$A$15:$A$18,MATCH(L31,Paramètres!$B$15:$B$18,1)))</f>
        <v>Aucun</v>
      </c>
      <c r="S31" s="28">
        <f>IF(R31="Non éligible",0,INDEX(Paramètres!$C$15:$C$18,MATCH(L31,Paramètres!$B$15:$B$18,1)))</f>
        <v>0</v>
      </c>
      <c r="T31" s="28">
        <f>IF(R31="Non éligible",0,P31*Paramètres!$C$20)</f>
        <v>0</v>
      </c>
      <c r="U31" s="28">
        <f>IF(R31="Non éligible",0,Q31*Paramètres!$C$21)</f>
        <v>0</v>
      </c>
      <c r="V31" s="28">
        <f>IF(AND(R31&lt;&gt;"Non éligible",E31&gt;0,J31&gt;=E31),Paramètres!$C$22,0)</f>
        <v>0</v>
      </c>
      <c r="W31" s="28">
        <f t="shared" si="5"/>
        <v>0</v>
      </c>
      <c r="X31" s="24">
        <f t="shared" si="6"/>
        <v>24</v>
      </c>
      <c r="Y31" s="29">
        <f t="shared" si="7"/>
        <v>9.6900000000000004E-6</v>
      </c>
    </row>
    <row r="32" spans="1:25" x14ac:dyDescent="0.45">
      <c r="A32" s="24" t="str">
        <f>'Saisie B2C'!A32</f>
        <v>MIKE</v>
      </c>
      <c r="B32" s="24" t="str">
        <f>'Saisie B2C'!B32</f>
        <v>pvt_rgz_sulrich.ftth</v>
      </c>
      <c r="C32" s="24" t="str">
        <f>'Saisie B2C'!C32</f>
        <v>Oui</v>
      </c>
      <c r="D32" s="25">
        <v>40</v>
      </c>
      <c r="E32" s="25">
        <v>5</v>
      </c>
      <c r="F32" s="24">
        <f t="shared" si="0"/>
        <v>45</v>
      </c>
      <c r="G32" s="26">
        <f>F32/Paramètres!$B$9</f>
        <v>2.0454545454545454</v>
      </c>
      <c r="H32" s="25">
        <v>45</v>
      </c>
      <c r="I32" s="24">
        <f>SUM('Saisie B2C'!D32:AH32)</f>
        <v>0</v>
      </c>
      <c r="J32" s="24">
        <f>SUM('Saisie B2B'!D32:AH32)</f>
        <v>0</v>
      </c>
      <c r="K32" s="24">
        <f t="shared" si="1"/>
        <v>0</v>
      </c>
      <c r="L32" s="27">
        <f t="shared" si="2"/>
        <v>0</v>
      </c>
      <c r="M32" s="26">
        <f>F32*Paramètres!$B$11/Paramètres!$B$9</f>
        <v>2.0454545454545454</v>
      </c>
      <c r="N32" s="27">
        <f t="shared" si="3"/>
        <v>0</v>
      </c>
      <c r="O32" s="24">
        <f t="shared" si="4"/>
        <v>45</v>
      </c>
      <c r="P32" s="24">
        <f>IF(F32&gt;0,SUMPRODUCT(('Saisie B2C'!D32:AH32+'Saisie B2B'!D32:AH32&gt;=G32)*(Paramètres!$B$7:$AF$7=1)*(Paramètres!$B$4:$AF$4&lt;=Paramètres!$B$10)),0)</f>
        <v>0</v>
      </c>
      <c r="Q32" s="24">
        <f>COUNTIF('Calcul quotidien'!$D$96:$AH$96,B32)</f>
        <v>0</v>
      </c>
      <c r="R32" s="24" t="str">
        <f>IF(OR(F32=0,C32&lt;&gt;"Oui"),"Non éligible",INDEX(Paramètres!$A$15:$A$18,MATCH(L32,Paramètres!$B$15:$B$18,1)))</f>
        <v>Aucun</v>
      </c>
      <c r="S32" s="28">
        <f>IF(R32="Non éligible",0,INDEX(Paramètres!$C$15:$C$18,MATCH(L32,Paramètres!$B$15:$B$18,1)))</f>
        <v>0</v>
      </c>
      <c r="T32" s="28">
        <f>IF(R32="Non éligible",0,P32*Paramètres!$C$20)</f>
        <v>0</v>
      </c>
      <c r="U32" s="28">
        <f>IF(R32="Non éligible",0,Q32*Paramètres!$C$21)</f>
        <v>0</v>
      </c>
      <c r="V32" s="28">
        <f>IF(AND(R32&lt;&gt;"Non éligible",E32&gt;0,J32&gt;=E32),Paramètres!$C$22,0)</f>
        <v>0</v>
      </c>
      <c r="W32" s="28">
        <f t="shared" si="5"/>
        <v>0</v>
      </c>
      <c r="X32" s="24">
        <f t="shared" si="6"/>
        <v>25</v>
      </c>
      <c r="Y32" s="29">
        <f t="shared" si="7"/>
        <v>9.6800000000000005E-6</v>
      </c>
    </row>
    <row r="33" spans="1:25" x14ac:dyDescent="0.45">
      <c r="A33" s="24" t="str">
        <f>'Saisie B2C'!A33</f>
        <v>MIKE</v>
      </c>
      <c r="B33" s="24" t="str">
        <f>'Saisie B2C'!B33</f>
        <v>pvt_rgz_hderrick.ftth</v>
      </c>
      <c r="C33" s="24" t="str">
        <f>'Saisie B2C'!C33</f>
        <v>Oui</v>
      </c>
      <c r="D33" s="25">
        <v>30</v>
      </c>
      <c r="E33" s="25">
        <v>2</v>
      </c>
      <c r="F33" s="24">
        <f t="shared" si="0"/>
        <v>32</v>
      </c>
      <c r="G33" s="26">
        <f>F33/Paramètres!$B$9</f>
        <v>1.4545454545454546</v>
      </c>
      <c r="H33" s="25">
        <v>35</v>
      </c>
      <c r="I33" s="24">
        <f>SUM('Saisie B2C'!D33:AH33)</f>
        <v>0</v>
      </c>
      <c r="J33" s="24">
        <f>SUM('Saisie B2B'!D33:AH33)</f>
        <v>0</v>
      </c>
      <c r="K33" s="24">
        <f t="shared" si="1"/>
        <v>0</v>
      </c>
      <c r="L33" s="27">
        <f t="shared" si="2"/>
        <v>0</v>
      </c>
      <c r="M33" s="26">
        <f>F33*Paramètres!$B$11/Paramètres!$B$9</f>
        <v>1.4545454545454546</v>
      </c>
      <c r="N33" s="27">
        <f t="shared" si="3"/>
        <v>0</v>
      </c>
      <c r="O33" s="24">
        <f t="shared" si="4"/>
        <v>32</v>
      </c>
      <c r="P33" s="24">
        <f>IF(F33&gt;0,SUMPRODUCT(('Saisie B2C'!D33:AH33+'Saisie B2B'!D33:AH33&gt;=G33)*(Paramètres!$B$7:$AF$7=1)*(Paramètres!$B$4:$AF$4&lt;=Paramètres!$B$10)),0)</f>
        <v>0</v>
      </c>
      <c r="Q33" s="24">
        <f>COUNTIF('Calcul quotidien'!$D$96:$AH$96,B33)</f>
        <v>0</v>
      </c>
      <c r="R33" s="24" t="str">
        <f>IF(OR(F33=0,C33&lt;&gt;"Oui"),"Non éligible",INDEX(Paramètres!$A$15:$A$18,MATCH(L33,Paramètres!$B$15:$B$18,1)))</f>
        <v>Aucun</v>
      </c>
      <c r="S33" s="28">
        <f>IF(R33="Non éligible",0,INDEX(Paramètres!$C$15:$C$18,MATCH(L33,Paramètres!$B$15:$B$18,1)))</f>
        <v>0</v>
      </c>
      <c r="T33" s="28">
        <f>IF(R33="Non éligible",0,P33*Paramètres!$C$20)</f>
        <v>0</v>
      </c>
      <c r="U33" s="28">
        <f>IF(R33="Non éligible",0,Q33*Paramètres!$C$21)</f>
        <v>0</v>
      </c>
      <c r="V33" s="28">
        <f>IF(AND(R33&lt;&gt;"Non éligible",E33&gt;0,J33&gt;=E33),Paramètres!$C$22,0)</f>
        <v>0</v>
      </c>
      <c r="W33" s="28">
        <f t="shared" si="5"/>
        <v>0</v>
      </c>
      <c r="X33" s="24">
        <f t="shared" si="6"/>
        <v>26</v>
      </c>
      <c r="Y33" s="29">
        <f t="shared" si="7"/>
        <v>9.6700000000000006E-6</v>
      </c>
    </row>
    <row r="34" spans="1:25" x14ac:dyDescent="0.45">
      <c r="A34" s="24" t="str">
        <f>'Saisie B2C'!A34</f>
        <v>MIKE</v>
      </c>
      <c r="B34" s="24" t="str">
        <f>'Saisie B2C'!B34</f>
        <v>pms_rgz_kromeo.ftth</v>
      </c>
      <c r="C34" s="24" t="str">
        <f>'Saisie B2C'!C34</f>
        <v>Oui</v>
      </c>
      <c r="D34" s="25">
        <v>20</v>
      </c>
      <c r="E34" s="25">
        <v>2</v>
      </c>
      <c r="F34" s="24">
        <f t="shared" si="0"/>
        <v>22</v>
      </c>
      <c r="G34" s="26">
        <f>F34/Paramètres!$B$9</f>
        <v>1</v>
      </c>
      <c r="H34" s="25">
        <v>26</v>
      </c>
      <c r="I34" s="24">
        <f>SUM('Saisie B2C'!D34:AH34)</f>
        <v>0</v>
      </c>
      <c r="J34" s="24">
        <f>SUM('Saisie B2B'!D34:AH34)</f>
        <v>0</v>
      </c>
      <c r="K34" s="24">
        <f t="shared" si="1"/>
        <v>0</v>
      </c>
      <c r="L34" s="27">
        <f t="shared" si="2"/>
        <v>0</v>
      </c>
      <c r="M34" s="26">
        <f>F34*Paramètres!$B$11/Paramètres!$B$9</f>
        <v>1</v>
      </c>
      <c r="N34" s="27">
        <f t="shared" si="3"/>
        <v>0</v>
      </c>
      <c r="O34" s="24">
        <f t="shared" si="4"/>
        <v>22</v>
      </c>
      <c r="P34" s="24">
        <f>IF(F34&gt;0,SUMPRODUCT(('Saisie B2C'!D34:AH34+'Saisie B2B'!D34:AH34&gt;=G34)*(Paramètres!$B$7:$AF$7=1)*(Paramètres!$B$4:$AF$4&lt;=Paramètres!$B$10)),0)</f>
        <v>0</v>
      </c>
      <c r="Q34" s="24">
        <f>COUNTIF('Calcul quotidien'!$D$96:$AH$96,B34)</f>
        <v>0</v>
      </c>
      <c r="R34" s="24" t="str">
        <f>IF(OR(F34=0,C34&lt;&gt;"Oui"),"Non éligible",INDEX(Paramètres!$A$15:$A$18,MATCH(L34,Paramètres!$B$15:$B$18,1)))</f>
        <v>Aucun</v>
      </c>
      <c r="S34" s="28">
        <f>IF(R34="Non éligible",0,INDEX(Paramètres!$C$15:$C$18,MATCH(L34,Paramètres!$B$15:$B$18,1)))</f>
        <v>0</v>
      </c>
      <c r="T34" s="28">
        <f>IF(R34="Non éligible",0,P34*Paramètres!$C$20)</f>
        <v>0</v>
      </c>
      <c r="U34" s="28">
        <f>IF(R34="Non éligible",0,Q34*Paramètres!$C$21)</f>
        <v>0</v>
      </c>
      <c r="V34" s="28">
        <f>IF(AND(R34&lt;&gt;"Non éligible",E34&gt;0,J34&gt;=E34),Paramètres!$C$22,0)</f>
        <v>0</v>
      </c>
      <c r="W34" s="28">
        <f t="shared" si="5"/>
        <v>0</v>
      </c>
      <c r="X34" s="24">
        <f t="shared" si="6"/>
        <v>27</v>
      </c>
      <c r="Y34" s="29">
        <f t="shared" si="7"/>
        <v>9.6600000000000007E-6</v>
      </c>
    </row>
    <row r="35" spans="1:25" x14ac:dyDescent="0.45">
      <c r="A35" s="24" t="str">
        <f>'Saisie B2C'!A35</f>
        <v>ANONYMAT</v>
      </c>
      <c r="B35" s="24" t="str">
        <f>'Saisie B2C'!B35</f>
        <v>pvt_rgz_gprince.ftth</v>
      </c>
      <c r="C35" s="24" t="str">
        <f>'Saisie B2C'!C35</f>
        <v>Oui</v>
      </c>
      <c r="D35" s="25">
        <v>30</v>
      </c>
      <c r="E35" s="25">
        <v>5</v>
      </c>
      <c r="F35" s="24">
        <f t="shared" si="0"/>
        <v>35</v>
      </c>
      <c r="G35" s="26">
        <f>F35/Paramètres!$B$9</f>
        <v>1.5909090909090908</v>
      </c>
      <c r="H35" s="25">
        <v>38</v>
      </c>
      <c r="I35" s="24">
        <f>SUM('Saisie B2C'!D35:AH35)</f>
        <v>0</v>
      </c>
      <c r="J35" s="24">
        <f>SUM('Saisie B2B'!D35:AH35)</f>
        <v>0</v>
      </c>
      <c r="K35" s="24">
        <f t="shared" si="1"/>
        <v>0</v>
      </c>
      <c r="L35" s="27">
        <f t="shared" si="2"/>
        <v>0</v>
      </c>
      <c r="M35" s="26">
        <f>F35*Paramètres!$B$11/Paramètres!$B$9</f>
        <v>1.5909090909090908</v>
      </c>
      <c r="N35" s="27">
        <f t="shared" si="3"/>
        <v>0</v>
      </c>
      <c r="O35" s="24">
        <f t="shared" si="4"/>
        <v>35</v>
      </c>
      <c r="P35" s="24">
        <f>IF(F35&gt;0,SUMPRODUCT(('Saisie B2C'!D35:AH35+'Saisie B2B'!D35:AH35&gt;=G35)*(Paramètres!$B$7:$AF$7=1)*(Paramètres!$B$4:$AF$4&lt;=Paramètres!$B$10)),0)</f>
        <v>0</v>
      </c>
      <c r="Q35" s="24">
        <f>COUNTIF('Calcul quotidien'!$D$96:$AH$96,B35)</f>
        <v>0</v>
      </c>
      <c r="R35" s="24" t="str">
        <f>IF(OR(F35=0,C35&lt;&gt;"Oui"),"Non éligible",INDEX(Paramètres!$A$15:$A$18,MATCH(L35,Paramètres!$B$15:$B$18,1)))</f>
        <v>Aucun</v>
      </c>
      <c r="S35" s="28">
        <f>IF(R35="Non éligible",0,INDEX(Paramètres!$C$15:$C$18,MATCH(L35,Paramètres!$B$15:$B$18,1)))</f>
        <v>0</v>
      </c>
      <c r="T35" s="28">
        <f>IF(R35="Non éligible",0,P35*Paramètres!$C$20)</f>
        <v>0</v>
      </c>
      <c r="U35" s="28">
        <f>IF(R35="Non éligible",0,Q35*Paramètres!$C$21)</f>
        <v>0</v>
      </c>
      <c r="V35" s="28">
        <f>IF(AND(R35&lt;&gt;"Non éligible",E35&gt;0,J35&gt;=E35),Paramètres!$C$22,0)</f>
        <v>0</v>
      </c>
      <c r="W35" s="28">
        <f t="shared" si="5"/>
        <v>0</v>
      </c>
      <c r="X35" s="24">
        <f t="shared" si="6"/>
        <v>28</v>
      </c>
      <c r="Y35" s="29">
        <f t="shared" si="7"/>
        <v>9.6500000000000008E-6</v>
      </c>
    </row>
    <row r="36" spans="1:25" x14ac:dyDescent="0.45">
      <c r="A36" s="24" t="str">
        <f>'Saisie B2C'!A36</f>
        <v>ANONYMAT</v>
      </c>
      <c r="B36" s="24" t="str">
        <f>'Saisie B2C'!B36</f>
        <v>pvt_rgz_akoffi.ftth</v>
      </c>
      <c r="C36" s="24" t="str">
        <f>'Saisie B2C'!C36</f>
        <v>Oui</v>
      </c>
      <c r="D36" s="25">
        <v>30</v>
      </c>
      <c r="E36" s="25">
        <v>5</v>
      </c>
      <c r="F36" s="24">
        <f t="shared" si="0"/>
        <v>35</v>
      </c>
      <c r="G36" s="26">
        <f>F36/Paramètres!$B$9</f>
        <v>1.5909090909090908</v>
      </c>
      <c r="H36" s="25">
        <v>38</v>
      </c>
      <c r="I36" s="24">
        <f>SUM('Saisie B2C'!D36:AH36)</f>
        <v>0</v>
      </c>
      <c r="J36" s="24">
        <f>SUM('Saisie B2B'!D36:AH36)</f>
        <v>0</v>
      </c>
      <c r="K36" s="24">
        <f t="shared" si="1"/>
        <v>0</v>
      </c>
      <c r="L36" s="27">
        <f t="shared" si="2"/>
        <v>0</v>
      </c>
      <c r="M36" s="26">
        <f>F36*Paramètres!$B$11/Paramètres!$B$9</f>
        <v>1.5909090909090908</v>
      </c>
      <c r="N36" s="27">
        <f t="shared" si="3"/>
        <v>0</v>
      </c>
      <c r="O36" s="24">
        <f t="shared" si="4"/>
        <v>35</v>
      </c>
      <c r="P36" s="24">
        <f>IF(F36&gt;0,SUMPRODUCT(('Saisie B2C'!D36:AH36+'Saisie B2B'!D36:AH36&gt;=G36)*(Paramètres!$B$7:$AF$7=1)*(Paramètres!$B$4:$AF$4&lt;=Paramètres!$B$10)),0)</f>
        <v>0</v>
      </c>
      <c r="Q36" s="24">
        <f>COUNTIF('Calcul quotidien'!$D$96:$AH$96,B36)</f>
        <v>0</v>
      </c>
      <c r="R36" s="24" t="str">
        <f>IF(OR(F36=0,C36&lt;&gt;"Oui"),"Non éligible",INDEX(Paramètres!$A$15:$A$18,MATCH(L36,Paramètres!$B$15:$B$18,1)))</f>
        <v>Aucun</v>
      </c>
      <c r="S36" s="28">
        <f>IF(R36="Non éligible",0,INDEX(Paramètres!$C$15:$C$18,MATCH(L36,Paramètres!$B$15:$B$18,1)))</f>
        <v>0</v>
      </c>
      <c r="T36" s="28">
        <f>IF(R36="Non éligible",0,P36*Paramètres!$C$20)</f>
        <v>0</v>
      </c>
      <c r="U36" s="28">
        <f>IF(R36="Non éligible",0,Q36*Paramètres!$C$21)</f>
        <v>0</v>
      </c>
      <c r="V36" s="28">
        <f>IF(AND(R36&lt;&gt;"Non éligible",E36&gt;0,J36&gt;=E36),Paramètres!$C$22,0)</f>
        <v>0</v>
      </c>
      <c r="W36" s="28">
        <f t="shared" si="5"/>
        <v>0</v>
      </c>
      <c r="X36" s="24">
        <f t="shared" si="6"/>
        <v>29</v>
      </c>
      <c r="Y36" s="29">
        <f t="shared" si="7"/>
        <v>9.6399999999999992E-6</v>
      </c>
    </row>
    <row r="37" spans="1:25" x14ac:dyDescent="0.45">
      <c r="A37" s="24" t="str">
        <f>'Saisie B2C'!A37</f>
        <v>ANONYMAT</v>
      </c>
      <c r="B37" s="24" t="str">
        <f>'Saisie B2C'!B37</f>
        <v>pvt_rgz_agado.ftth</v>
      </c>
      <c r="C37" s="24" t="str">
        <f>'Saisie B2C'!C37</f>
        <v>Oui</v>
      </c>
      <c r="D37" s="25">
        <v>30</v>
      </c>
      <c r="E37" s="25">
        <v>5</v>
      </c>
      <c r="F37" s="24">
        <f t="shared" si="0"/>
        <v>35</v>
      </c>
      <c r="G37" s="26">
        <f>F37/Paramètres!$B$9</f>
        <v>1.5909090909090908</v>
      </c>
      <c r="H37" s="25">
        <v>0</v>
      </c>
      <c r="I37" s="24">
        <f>SUM('Saisie B2C'!D37:AH37)</f>
        <v>0</v>
      </c>
      <c r="J37" s="24">
        <f>SUM('Saisie B2B'!D37:AH37)</f>
        <v>0</v>
      </c>
      <c r="K37" s="24">
        <f t="shared" si="1"/>
        <v>0</v>
      </c>
      <c r="L37" s="27">
        <f t="shared" si="2"/>
        <v>0</v>
      </c>
      <c r="M37" s="26">
        <f>F37*Paramètres!$B$11/Paramètres!$B$9</f>
        <v>1.5909090909090908</v>
      </c>
      <c r="N37" s="27">
        <f t="shared" si="3"/>
        <v>0</v>
      </c>
      <c r="O37" s="24">
        <f t="shared" si="4"/>
        <v>35</v>
      </c>
      <c r="P37" s="24">
        <f>IF(F37&gt;0,SUMPRODUCT(('Saisie B2C'!D37:AH37+'Saisie B2B'!D37:AH37&gt;=G37)*(Paramètres!$B$7:$AF$7=1)*(Paramètres!$B$4:$AF$4&lt;=Paramètres!$B$10)),0)</f>
        <v>0</v>
      </c>
      <c r="Q37" s="24">
        <f>COUNTIF('Calcul quotidien'!$D$96:$AH$96,B37)</f>
        <v>0</v>
      </c>
      <c r="R37" s="24" t="str">
        <f>IF(OR(F37=0,C37&lt;&gt;"Oui"),"Non éligible",INDEX(Paramètres!$A$15:$A$18,MATCH(L37,Paramètres!$B$15:$B$18,1)))</f>
        <v>Aucun</v>
      </c>
      <c r="S37" s="28">
        <f>IF(R37="Non éligible",0,INDEX(Paramètres!$C$15:$C$18,MATCH(L37,Paramètres!$B$15:$B$18,1)))</f>
        <v>0</v>
      </c>
      <c r="T37" s="28">
        <f>IF(R37="Non éligible",0,P37*Paramètres!$C$20)</f>
        <v>0</v>
      </c>
      <c r="U37" s="28">
        <f>IF(R37="Non éligible",0,Q37*Paramètres!$C$21)</f>
        <v>0</v>
      </c>
      <c r="V37" s="28">
        <f>IF(AND(R37&lt;&gt;"Non éligible",E37&gt;0,J37&gt;=E37),Paramètres!$C$22,0)</f>
        <v>0</v>
      </c>
      <c r="W37" s="28">
        <f t="shared" si="5"/>
        <v>0</v>
      </c>
      <c r="X37" s="24">
        <f t="shared" si="6"/>
        <v>30</v>
      </c>
      <c r="Y37" s="29">
        <f t="shared" si="7"/>
        <v>9.6299999999999993E-6</v>
      </c>
    </row>
    <row r="38" spans="1:25" x14ac:dyDescent="0.45">
      <c r="A38" s="24" t="str">
        <f>'Saisie B2C'!A38</f>
        <v>ANONYMAT</v>
      </c>
      <c r="B38" s="24" t="str">
        <f>'Saisie B2C'!B38</f>
        <v>pvt_rgz_lcedric.ftth</v>
      </c>
      <c r="C38" s="24" t="str">
        <f>'Saisie B2C'!C38</f>
        <v>Oui</v>
      </c>
      <c r="D38" s="25">
        <v>30</v>
      </c>
      <c r="E38" s="25">
        <v>5</v>
      </c>
      <c r="F38" s="24">
        <f t="shared" si="0"/>
        <v>35</v>
      </c>
      <c r="G38" s="26">
        <f>F38/Paramètres!$B$9</f>
        <v>1.5909090909090908</v>
      </c>
      <c r="H38" s="25">
        <v>0</v>
      </c>
      <c r="I38" s="24">
        <f>SUM('Saisie B2C'!D38:AH38)</f>
        <v>0</v>
      </c>
      <c r="J38" s="24">
        <f>SUM('Saisie B2B'!D38:AH38)</f>
        <v>0</v>
      </c>
      <c r="K38" s="24">
        <f t="shared" si="1"/>
        <v>0</v>
      </c>
      <c r="L38" s="27">
        <f t="shared" si="2"/>
        <v>0</v>
      </c>
      <c r="M38" s="26">
        <f>F38*Paramètres!$B$11/Paramètres!$B$9</f>
        <v>1.5909090909090908</v>
      </c>
      <c r="N38" s="27">
        <f t="shared" si="3"/>
        <v>0</v>
      </c>
      <c r="O38" s="24">
        <f t="shared" si="4"/>
        <v>35</v>
      </c>
      <c r="P38" s="24">
        <f>IF(F38&gt;0,SUMPRODUCT(('Saisie B2C'!D38:AH38+'Saisie B2B'!D38:AH38&gt;=G38)*(Paramètres!$B$7:$AF$7=1)*(Paramètres!$B$4:$AF$4&lt;=Paramètres!$B$10)),0)</f>
        <v>0</v>
      </c>
      <c r="Q38" s="24">
        <f>COUNTIF('Calcul quotidien'!$D$96:$AH$96,B38)</f>
        <v>0</v>
      </c>
      <c r="R38" s="24" t="str">
        <f>IF(OR(F38=0,C38&lt;&gt;"Oui"),"Non éligible",INDEX(Paramètres!$A$15:$A$18,MATCH(L38,Paramètres!$B$15:$B$18,1)))</f>
        <v>Aucun</v>
      </c>
      <c r="S38" s="28">
        <f>IF(R38="Non éligible",0,INDEX(Paramètres!$C$15:$C$18,MATCH(L38,Paramètres!$B$15:$B$18,1)))</f>
        <v>0</v>
      </c>
      <c r="T38" s="28">
        <f>IF(R38="Non éligible",0,P38*Paramètres!$C$20)</f>
        <v>0</v>
      </c>
      <c r="U38" s="28">
        <f>IF(R38="Non éligible",0,Q38*Paramètres!$C$21)</f>
        <v>0</v>
      </c>
      <c r="V38" s="28">
        <f>IF(AND(R38&lt;&gt;"Non éligible",E38&gt;0,J38&gt;=E38),Paramètres!$C$22,0)</f>
        <v>0</v>
      </c>
      <c r="W38" s="28">
        <f t="shared" si="5"/>
        <v>0</v>
      </c>
      <c r="X38" s="24">
        <f t="shared" si="6"/>
        <v>31</v>
      </c>
      <c r="Y38" s="29">
        <f t="shared" si="7"/>
        <v>9.6199999999999994E-6</v>
      </c>
    </row>
    <row r="39" spans="1:25" x14ac:dyDescent="0.45">
      <c r="A39" s="24" t="str">
        <f>'Saisie B2C'!A39</f>
        <v>CONCORDE</v>
      </c>
      <c r="B39" s="24" t="str">
        <f>'Saisie B2C'!B39</f>
        <v>pvt_rgz_kbernadin.ftth</v>
      </c>
      <c r="C39" s="24" t="str">
        <f>'Saisie B2C'!C39</f>
        <v>Oui</v>
      </c>
      <c r="D39" s="25">
        <v>39</v>
      </c>
      <c r="E39" s="25">
        <v>1</v>
      </c>
      <c r="F39" s="24">
        <f t="shared" si="0"/>
        <v>40</v>
      </c>
      <c r="G39" s="26">
        <f>F39/Paramètres!$B$9</f>
        <v>1.8181818181818181</v>
      </c>
      <c r="H39" s="25">
        <v>43</v>
      </c>
      <c r="I39" s="24">
        <f>SUM('Saisie B2C'!D39:AH39)</f>
        <v>0</v>
      </c>
      <c r="J39" s="24">
        <f>SUM('Saisie B2B'!D39:AH39)</f>
        <v>0</v>
      </c>
      <c r="K39" s="24">
        <f t="shared" si="1"/>
        <v>0</v>
      </c>
      <c r="L39" s="27">
        <f t="shared" si="2"/>
        <v>0</v>
      </c>
      <c r="M39" s="26">
        <f>F39*Paramètres!$B$11/Paramètres!$B$9</f>
        <v>1.8181818181818181</v>
      </c>
      <c r="N39" s="27">
        <f t="shared" si="3"/>
        <v>0</v>
      </c>
      <c r="O39" s="24">
        <f t="shared" si="4"/>
        <v>40</v>
      </c>
      <c r="P39" s="24">
        <f>IF(F39&gt;0,SUMPRODUCT(('Saisie B2C'!D39:AH39+'Saisie B2B'!D39:AH39&gt;=G39)*(Paramètres!$B$7:$AF$7=1)*(Paramètres!$B$4:$AF$4&lt;=Paramètres!$B$10)),0)</f>
        <v>0</v>
      </c>
      <c r="Q39" s="24">
        <f>COUNTIF('Calcul quotidien'!$D$96:$AH$96,B39)</f>
        <v>0</v>
      </c>
      <c r="R39" s="24" t="str">
        <f>IF(OR(F39=0,C39&lt;&gt;"Oui"),"Non éligible",INDEX(Paramètres!$A$15:$A$18,MATCH(L39,Paramètres!$B$15:$B$18,1)))</f>
        <v>Aucun</v>
      </c>
      <c r="S39" s="28">
        <f>IF(R39="Non éligible",0,INDEX(Paramètres!$C$15:$C$18,MATCH(L39,Paramètres!$B$15:$B$18,1)))</f>
        <v>0</v>
      </c>
      <c r="T39" s="28">
        <f>IF(R39="Non éligible",0,P39*Paramètres!$C$20)</f>
        <v>0</v>
      </c>
      <c r="U39" s="28">
        <f>IF(R39="Non éligible",0,Q39*Paramètres!$C$21)</f>
        <v>0</v>
      </c>
      <c r="V39" s="28">
        <f>IF(AND(R39&lt;&gt;"Non éligible",E39&gt;0,J39&gt;=E39),Paramètres!$C$22,0)</f>
        <v>0</v>
      </c>
      <c r="W39" s="28">
        <f t="shared" si="5"/>
        <v>0</v>
      </c>
      <c r="X39" s="24">
        <f t="shared" si="6"/>
        <v>32</v>
      </c>
      <c r="Y39" s="29">
        <f t="shared" si="7"/>
        <v>9.6099999999999995E-6</v>
      </c>
    </row>
    <row r="40" spans="1:25" x14ac:dyDescent="0.45">
      <c r="A40" s="24" t="str">
        <f>'Saisie B2C'!A40</f>
        <v>CONCORDE</v>
      </c>
      <c r="B40" s="24" t="str">
        <f>'Saisie B2C'!B40</f>
        <v>pms_rgz_cmerveille.ftth</v>
      </c>
      <c r="C40" s="24" t="str">
        <f>'Saisie B2C'!C40</f>
        <v>Oui</v>
      </c>
      <c r="D40" s="25">
        <v>30</v>
      </c>
      <c r="E40" s="25">
        <v>1</v>
      </c>
      <c r="F40" s="24">
        <f t="shared" si="0"/>
        <v>31</v>
      </c>
      <c r="G40" s="26">
        <f>F40/Paramètres!$B$9</f>
        <v>1.4090909090909092</v>
      </c>
      <c r="H40" s="25">
        <v>32</v>
      </c>
      <c r="I40" s="24">
        <f>SUM('Saisie B2C'!D40:AH40)</f>
        <v>0</v>
      </c>
      <c r="J40" s="24">
        <f>SUM('Saisie B2B'!D40:AH40)</f>
        <v>0</v>
      </c>
      <c r="K40" s="24">
        <f t="shared" si="1"/>
        <v>0</v>
      </c>
      <c r="L40" s="27">
        <f t="shared" si="2"/>
        <v>0</v>
      </c>
      <c r="M40" s="26">
        <f>F40*Paramètres!$B$11/Paramètres!$B$9</f>
        <v>1.4090909090909092</v>
      </c>
      <c r="N40" s="27">
        <f t="shared" si="3"/>
        <v>0</v>
      </c>
      <c r="O40" s="24">
        <f t="shared" si="4"/>
        <v>31</v>
      </c>
      <c r="P40" s="24">
        <f>IF(F40&gt;0,SUMPRODUCT(('Saisie B2C'!D40:AH40+'Saisie B2B'!D40:AH40&gt;=G40)*(Paramètres!$B$7:$AF$7=1)*(Paramètres!$B$4:$AF$4&lt;=Paramètres!$B$10)),0)</f>
        <v>0</v>
      </c>
      <c r="Q40" s="24">
        <f>COUNTIF('Calcul quotidien'!$D$96:$AH$96,B40)</f>
        <v>0</v>
      </c>
      <c r="R40" s="24" t="str">
        <f>IF(OR(F40=0,C40&lt;&gt;"Oui"),"Non éligible",INDEX(Paramètres!$A$15:$A$18,MATCH(L40,Paramètres!$B$15:$B$18,1)))</f>
        <v>Aucun</v>
      </c>
      <c r="S40" s="28">
        <f>IF(R40="Non éligible",0,INDEX(Paramètres!$C$15:$C$18,MATCH(L40,Paramètres!$B$15:$B$18,1)))</f>
        <v>0</v>
      </c>
      <c r="T40" s="28">
        <f>IF(R40="Non éligible",0,P40*Paramètres!$C$20)</f>
        <v>0</v>
      </c>
      <c r="U40" s="28">
        <f>IF(R40="Non éligible",0,Q40*Paramètres!$C$21)</f>
        <v>0</v>
      </c>
      <c r="V40" s="28">
        <f>IF(AND(R40&lt;&gt;"Non éligible",E40&gt;0,J40&gt;=E40),Paramètres!$C$22,0)</f>
        <v>0</v>
      </c>
      <c r="W40" s="28">
        <f t="shared" si="5"/>
        <v>0</v>
      </c>
      <c r="X40" s="24">
        <f t="shared" si="6"/>
        <v>33</v>
      </c>
      <c r="Y40" s="29">
        <f t="shared" si="7"/>
        <v>9.5999999999999996E-6</v>
      </c>
    </row>
    <row r="41" spans="1:25" x14ac:dyDescent="0.45">
      <c r="A41" s="24" t="str">
        <f>'Saisie B2C'!A41</f>
        <v>CONCORDE</v>
      </c>
      <c r="B41" s="24" t="str">
        <f>'Saisie B2C'!B41</f>
        <v>pvt_rgz_kadebayo.ftth</v>
      </c>
      <c r="C41" s="24" t="str">
        <f>'Saisie B2C'!C41</f>
        <v>Oui</v>
      </c>
      <c r="D41" s="25">
        <v>28</v>
      </c>
      <c r="E41" s="25">
        <v>1</v>
      </c>
      <c r="F41" s="24">
        <f t="shared" si="0"/>
        <v>29</v>
      </c>
      <c r="G41" s="26">
        <f>F41/Paramètres!$B$9</f>
        <v>1.3181818181818181</v>
      </c>
      <c r="H41" s="25">
        <v>29</v>
      </c>
      <c r="I41" s="24">
        <f>SUM('Saisie B2C'!D41:AH41)</f>
        <v>0</v>
      </c>
      <c r="J41" s="24">
        <f>SUM('Saisie B2B'!D41:AH41)</f>
        <v>0</v>
      </c>
      <c r="K41" s="24">
        <f t="shared" si="1"/>
        <v>0</v>
      </c>
      <c r="L41" s="27">
        <f t="shared" si="2"/>
        <v>0</v>
      </c>
      <c r="M41" s="26">
        <f>F41*Paramètres!$B$11/Paramètres!$B$9</f>
        <v>1.3181818181818181</v>
      </c>
      <c r="N41" s="27">
        <f t="shared" si="3"/>
        <v>0</v>
      </c>
      <c r="O41" s="24">
        <f t="shared" si="4"/>
        <v>29</v>
      </c>
      <c r="P41" s="24">
        <f>IF(F41&gt;0,SUMPRODUCT(('Saisie B2C'!D41:AH41+'Saisie B2B'!D41:AH41&gt;=G41)*(Paramètres!$B$7:$AF$7=1)*(Paramètres!$B$4:$AF$4&lt;=Paramètres!$B$10)),0)</f>
        <v>0</v>
      </c>
      <c r="Q41" s="24">
        <f>COUNTIF('Calcul quotidien'!$D$96:$AH$96,B41)</f>
        <v>0</v>
      </c>
      <c r="R41" s="24" t="str">
        <f>IF(OR(F41=0,C41&lt;&gt;"Oui"),"Non éligible",INDEX(Paramètres!$A$15:$A$18,MATCH(L41,Paramètres!$B$15:$B$18,1)))</f>
        <v>Aucun</v>
      </c>
      <c r="S41" s="28">
        <f>IF(R41="Non éligible",0,INDEX(Paramètres!$C$15:$C$18,MATCH(L41,Paramètres!$B$15:$B$18,1)))</f>
        <v>0</v>
      </c>
      <c r="T41" s="28">
        <f>IF(R41="Non éligible",0,P41*Paramètres!$C$20)</f>
        <v>0</v>
      </c>
      <c r="U41" s="28">
        <f>IF(R41="Non éligible",0,Q41*Paramètres!$C$21)</f>
        <v>0</v>
      </c>
      <c r="V41" s="28">
        <f>IF(AND(R41&lt;&gt;"Non éligible",E41&gt;0,J41&gt;=E41),Paramètres!$C$22,0)</f>
        <v>0</v>
      </c>
      <c r="W41" s="28">
        <f t="shared" si="5"/>
        <v>0</v>
      </c>
      <c r="X41" s="24">
        <f t="shared" si="6"/>
        <v>34</v>
      </c>
      <c r="Y41" s="29">
        <f t="shared" si="7"/>
        <v>9.5899999999999997E-6</v>
      </c>
    </row>
    <row r="42" spans="1:25" x14ac:dyDescent="0.45">
      <c r="A42" s="24" t="str">
        <f>'Saisie B2C'!A42</f>
        <v>CONCORDE</v>
      </c>
      <c r="B42" s="24" t="str">
        <f>'Saisie B2C'!B42</f>
        <v>pms_rgz_abijou.ftth</v>
      </c>
      <c r="C42" s="24" t="str">
        <f>'Saisie B2C'!C42</f>
        <v>Oui</v>
      </c>
      <c r="D42" s="25">
        <v>25</v>
      </c>
      <c r="E42" s="25">
        <v>1</v>
      </c>
      <c r="F42" s="24">
        <f t="shared" si="0"/>
        <v>26</v>
      </c>
      <c r="G42" s="26">
        <f>F42/Paramètres!$B$9</f>
        <v>1.1818181818181819</v>
      </c>
      <c r="H42" s="25">
        <v>0</v>
      </c>
      <c r="I42" s="24">
        <f>SUM('Saisie B2C'!D42:AH42)</f>
        <v>0</v>
      </c>
      <c r="J42" s="24">
        <f>SUM('Saisie B2B'!D42:AH42)</f>
        <v>0</v>
      </c>
      <c r="K42" s="24">
        <f t="shared" si="1"/>
        <v>0</v>
      </c>
      <c r="L42" s="27">
        <f t="shared" si="2"/>
        <v>0</v>
      </c>
      <c r="M42" s="26">
        <f>F42*Paramètres!$B$11/Paramètres!$B$9</f>
        <v>1.1818181818181819</v>
      </c>
      <c r="N42" s="27">
        <f t="shared" si="3"/>
        <v>0</v>
      </c>
      <c r="O42" s="24">
        <f t="shared" si="4"/>
        <v>26</v>
      </c>
      <c r="P42" s="24">
        <f>IF(F42&gt;0,SUMPRODUCT(('Saisie B2C'!D42:AH42+'Saisie B2B'!D42:AH42&gt;=G42)*(Paramètres!$B$7:$AF$7=1)*(Paramètres!$B$4:$AF$4&lt;=Paramètres!$B$10)),0)</f>
        <v>0</v>
      </c>
      <c r="Q42" s="24">
        <f>COUNTIF('Calcul quotidien'!$D$96:$AH$96,B42)</f>
        <v>0</v>
      </c>
      <c r="R42" s="24" t="str">
        <f>IF(OR(F42=0,C42&lt;&gt;"Oui"),"Non éligible",INDEX(Paramètres!$A$15:$A$18,MATCH(L42,Paramètres!$B$15:$B$18,1)))</f>
        <v>Aucun</v>
      </c>
      <c r="S42" s="28">
        <f>IF(R42="Non éligible",0,INDEX(Paramètres!$C$15:$C$18,MATCH(L42,Paramètres!$B$15:$B$18,1)))</f>
        <v>0</v>
      </c>
      <c r="T42" s="28">
        <f>IF(R42="Non éligible",0,P42*Paramètres!$C$20)</f>
        <v>0</v>
      </c>
      <c r="U42" s="28">
        <f>IF(R42="Non éligible",0,Q42*Paramètres!$C$21)</f>
        <v>0</v>
      </c>
      <c r="V42" s="28">
        <f>IF(AND(R42&lt;&gt;"Non éligible",E42&gt;0,J42&gt;=E42),Paramètres!$C$22,0)</f>
        <v>0</v>
      </c>
      <c r="W42" s="28">
        <f t="shared" si="5"/>
        <v>0</v>
      </c>
      <c r="X42" s="24">
        <f t="shared" si="6"/>
        <v>35</v>
      </c>
      <c r="Y42" s="29">
        <f t="shared" si="7"/>
        <v>9.5799999999999998E-6</v>
      </c>
    </row>
    <row r="43" spans="1:25" x14ac:dyDescent="0.45">
      <c r="A43" s="24" t="str">
        <f>'Saisie B2C'!A43</f>
        <v>CONCORDE</v>
      </c>
      <c r="B43" s="24" t="str">
        <f>'Saisie B2C'!B43</f>
        <v>pms_rgz_svictor.ftth</v>
      </c>
      <c r="C43" s="24" t="str">
        <f>'Saisie B2C'!C43</f>
        <v>Oui</v>
      </c>
      <c r="D43" s="25">
        <v>35</v>
      </c>
      <c r="E43" s="25">
        <v>6</v>
      </c>
      <c r="F43" s="24">
        <f t="shared" si="0"/>
        <v>41</v>
      </c>
      <c r="G43" s="26">
        <f>F43/Paramètres!$B$9</f>
        <v>1.8636363636363635</v>
      </c>
      <c r="H43" s="25">
        <v>47</v>
      </c>
      <c r="I43" s="24">
        <f>SUM('Saisie B2C'!D43:AH43)</f>
        <v>0</v>
      </c>
      <c r="J43" s="24">
        <f>SUM('Saisie B2B'!D43:AH43)</f>
        <v>0</v>
      </c>
      <c r="K43" s="24">
        <f t="shared" si="1"/>
        <v>0</v>
      </c>
      <c r="L43" s="27">
        <f t="shared" si="2"/>
        <v>0</v>
      </c>
      <c r="M43" s="26">
        <f>F43*Paramètres!$B$11/Paramètres!$B$9</f>
        <v>1.8636363636363635</v>
      </c>
      <c r="N43" s="27">
        <f t="shared" si="3"/>
        <v>0</v>
      </c>
      <c r="O43" s="24">
        <f t="shared" si="4"/>
        <v>41</v>
      </c>
      <c r="P43" s="24">
        <f>IF(F43&gt;0,SUMPRODUCT(('Saisie B2C'!D43:AH43+'Saisie B2B'!D43:AH43&gt;=G43)*(Paramètres!$B$7:$AF$7=1)*(Paramètres!$B$4:$AF$4&lt;=Paramètres!$B$10)),0)</f>
        <v>0</v>
      </c>
      <c r="Q43" s="24">
        <f>COUNTIF('Calcul quotidien'!$D$96:$AH$96,B43)</f>
        <v>0</v>
      </c>
      <c r="R43" s="24" t="str">
        <f>IF(OR(F43=0,C43&lt;&gt;"Oui"),"Non éligible",INDEX(Paramètres!$A$15:$A$18,MATCH(L43,Paramètres!$B$15:$B$18,1)))</f>
        <v>Aucun</v>
      </c>
      <c r="S43" s="28">
        <f>IF(R43="Non éligible",0,INDEX(Paramètres!$C$15:$C$18,MATCH(L43,Paramètres!$B$15:$B$18,1)))</f>
        <v>0</v>
      </c>
      <c r="T43" s="28">
        <f>IF(R43="Non éligible",0,P43*Paramètres!$C$20)</f>
        <v>0</v>
      </c>
      <c r="U43" s="28">
        <f>IF(R43="Non éligible",0,Q43*Paramètres!$C$21)</f>
        <v>0</v>
      </c>
      <c r="V43" s="28">
        <f>IF(AND(R43&lt;&gt;"Non éligible",E43&gt;0,J43&gt;=E43),Paramètres!$C$22,0)</f>
        <v>0</v>
      </c>
      <c r="W43" s="28">
        <f t="shared" si="5"/>
        <v>0</v>
      </c>
      <c r="X43" s="24">
        <f t="shared" si="6"/>
        <v>36</v>
      </c>
      <c r="Y43" s="29">
        <f t="shared" si="7"/>
        <v>9.5699999999999999E-6</v>
      </c>
    </row>
    <row r="44" spans="1:25" x14ac:dyDescent="0.45">
      <c r="A44" s="24" t="str">
        <f>'Saisie B2C'!A44</f>
        <v>BRAVO</v>
      </c>
      <c r="B44" s="24" t="str">
        <f>'Saisie B2C'!B44</f>
        <v>pvt_rgz_afaoziath.ftth</v>
      </c>
      <c r="C44" s="24" t="str">
        <f>'Saisie B2C'!C44</f>
        <v>Oui</v>
      </c>
      <c r="D44" s="25">
        <v>30</v>
      </c>
      <c r="E44" s="25">
        <v>20</v>
      </c>
      <c r="F44" s="24">
        <f t="shared" si="0"/>
        <v>50</v>
      </c>
      <c r="G44" s="26">
        <f>F44/Paramètres!$B$9</f>
        <v>2.2727272727272729</v>
      </c>
      <c r="H44" s="25">
        <v>1</v>
      </c>
      <c r="I44" s="24">
        <f>SUM('Saisie B2C'!D44:AH44)</f>
        <v>0</v>
      </c>
      <c r="J44" s="24">
        <f>SUM('Saisie B2B'!D44:AH44)</f>
        <v>0</v>
      </c>
      <c r="K44" s="24">
        <f t="shared" si="1"/>
        <v>0</v>
      </c>
      <c r="L44" s="27">
        <f t="shared" si="2"/>
        <v>0</v>
      </c>
      <c r="M44" s="26">
        <f>F44*Paramètres!$B$11/Paramètres!$B$9</f>
        <v>2.2727272727272729</v>
      </c>
      <c r="N44" s="27">
        <f t="shared" si="3"/>
        <v>0</v>
      </c>
      <c r="O44" s="24">
        <f t="shared" si="4"/>
        <v>50</v>
      </c>
      <c r="P44" s="24">
        <f>IF(F44&gt;0,SUMPRODUCT(('Saisie B2C'!D44:AH44+'Saisie B2B'!D44:AH44&gt;=G44)*(Paramètres!$B$7:$AF$7=1)*(Paramètres!$B$4:$AF$4&lt;=Paramètres!$B$10)),0)</f>
        <v>0</v>
      </c>
      <c r="Q44" s="24">
        <f>COUNTIF('Calcul quotidien'!$D$96:$AH$96,B44)</f>
        <v>0</v>
      </c>
      <c r="R44" s="24" t="str">
        <f>IF(OR(F44=0,C44&lt;&gt;"Oui"),"Non éligible",INDEX(Paramètres!$A$15:$A$18,MATCH(L44,Paramètres!$B$15:$B$18,1)))</f>
        <v>Aucun</v>
      </c>
      <c r="S44" s="28">
        <f>IF(R44="Non éligible",0,INDEX(Paramètres!$C$15:$C$18,MATCH(L44,Paramètres!$B$15:$B$18,1)))</f>
        <v>0</v>
      </c>
      <c r="T44" s="28">
        <f>IF(R44="Non éligible",0,P44*Paramètres!$C$20)</f>
        <v>0</v>
      </c>
      <c r="U44" s="28">
        <f>IF(R44="Non éligible",0,Q44*Paramètres!$C$21)</f>
        <v>0</v>
      </c>
      <c r="V44" s="28">
        <f>IF(AND(R44&lt;&gt;"Non éligible",E44&gt;0,J44&gt;=E44),Paramètres!$C$22,0)</f>
        <v>0</v>
      </c>
      <c r="W44" s="28">
        <f t="shared" si="5"/>
        <v>0</v>
      </c>
      <c r="X44" s="24">
        <f t="shared" si="6"/>
        <v>37</v>
      </c>
      <c r="Y44" s="29">
        <f t="shared" si="7"/>
        <v>9.5599999999999999E-6</v>
      </c>
    </row>
    <row r="45" spans="1:25" x14ac:dyDescent="0.45">
      <c r="A45" s="24" t="str">
        <f>'Saisie B2C'!A45</f>
        <v>BRAVO</v>
      </c>
      <c r="B45" s="24" t="str">
        <f>'Saisie B2C'!B45</f>
        <v>pvt_rgz_lgrace.ftth</v>
      </c>
      <c r="C45" s="24" t="str">
        <f>'Saisie B2C'!C45</f>
        <v>Oui</v>
      </c>
      <c r="D45" s="25">
        <v>30</v>
      </c>
      <c r="E45" s="25">
        <v>20</v>
      </c>
      <c r="F45" s="24">
        <f t="shared" si="0"/>
        <v>50</v>
      </c>
      <c r="G45" s="26">
        <f>F45/Paramètres!$B$9</f>
        <v>2.2727272727272729</v>
      </c>
      <c r="H45" s="25">
        <v>0</v>
      </c>
      <c r="I45" s="24">
        <f>SUM('Saisie B2C'!D45:AH45)</f>
        <v>0</v>
      </c>
      <c r="J45" s="24">
        <f>SUM('Saisie B2B'!D45:AH45)</f>
        <v>0</v>
      </c>
      <c r="K45" s="24">
        <f t="shared" si="1"/>
        <v>0</v>
      </c>
      <c r="L45" s="27">
        <f t="shared" si="2"/>
        <v>0</v>
      </c>
      <c r="M45" s="26">
        <f>F45*Paramètres!$B$11/Paramètres!$B$9</f>
        <v>2.2727272727272729</v>
      </c>
      <c r="N45" s="27">
        <f t="shared" si="3"/>
        <v>0</v>
      </c>
      <c r="O45" s="24">
        <f t="shared" si="4"/>
        <v>50</v>
      </c>
      <c r="P45" s="24">
        <f>IF(F45&gt;0,SUMPRODUCT(('Saisie B2C'!D45:AH45+'Saisie B2B'!D45:AH45&gt;=G45)*(Paramètres!$B$7:$AF$7=1)*(Paramètres!$B$4:$AF$4&lt;=Paramètres!$B$10)),0)</f>
        <v>0</v>
      </c>
      <c r="Q45" s="24">
        <f>COUNTIF('Calcul quotidien'!$D$96:$AH$96,B45)</f>
        <v>0</v>
      </c>
      <c r="R45" s="24" t="str">
        <f>IF(OR(F45=0,C45&lt;&gt;"Oui"),"Non éligible",INDEX(Paramètres!$A$15:$A$18,MATCH(L45,Paramètres!$B$15:$B$18,1)))</f>
        <v>Aucun</v>
      </c>
      <c r="S45" s="28">
        <f>IF(R45="Non éligible",0,INDEX(Paramètres!$C$15:$C$18,MATCH(L45,Paramètres!$B$15:$B$18,1)))</f>
        <v>0</v>
      </c>
      <c r="T45" s="28">
        <f>IF(R45="Non éligible",0,P45*Paramètres!$C$20)</f>
        <v>0</v>
      </c>
      <c r="U45" s="28">
        <f>IF(R45="Non éligible",0,Q45*Paramètres!$C$21)</f>
        <v>0</v>
      </c>
      <c r="V45" s="28">
        <f>IF(AND(R45&lt;&gt;"Non éligible",E45&gt;0,J45&gt;=E45),Paramètres!$C$22,0)</f>
        <v>0</v>
      </c>
      <c r="W45" s="28">
        <f t="shared" si="5"/>
        <v>0</v>
      </c>
      <c r="X45" s="24">
        <f t="shared" si="6"/>
        <v>38</v>
      </c>
      <c r="Y45" s="29">
        <f t="shared" si="7"/>
        <v>9.55E-6</v>
      </c>
    </row>
    <row r="46" spans="1:25" x14ac:dyDescent="0.45">
      <c r="A46" s="24" t="str">
        <f>'Saisie B2C'!A46</f>
        <v>OMEGA</v>
      </c>
      <c r="B46" s="24" t="str">
        <f>'Saisie B2C'!B46</f>
        <v>pvt_rgz_mvenceslas</v>
      </c>
      <c r="C46" s="24" t="str">
        <f>'Saisie B2C'!C46</f>
        <v>Oui</v>
      </c>
      <c r="D46" s="25">
        <v>20</v>
      </c>
      <c r="E46" s="25">
        <v>10</v>
      </c>
      <c r="F46" s="24">
        <f t="shared" si="0"/>
        <v>30</v>
      </c>
      <c r="G46" s="26">
        <f>F46/Paramètres!$B$9</f>
        <v>1.3636363636363635</v>
      </c>
      <c r="H46" s="25">
        <v>0</v>
      </c>
      <c r="I46" s="24">
        <f>SUM('Saisie B2C'!D46:AH46)</f>
        <v>0</v>
      </c>
      <c r="J46" s="24">
        <f>SUM('Saisie B2B'!D46:AH46)</f>
        <v>0</v>
      </c>
      <c r="K46" s="24">
        <f t="shared" si="1"/>
        <v>0</v>
      </c>
      <c r="L46" s="27">
        <f t="shared" si="2"/>
        <v>0</v>
      </c>
      <c r="M46" s="26">
        <f>F46*Paramètres!$B$11/Paramètres!$B$9</f>
        <v>1.3636363636363635</v>
      </c>
      <c r="N46" s="27">
        <f t="shared" si="3"/>
        <v>0</v>
      </c>
      <c r="O46" s="24">
        <f t="shared" si="4"/>
        <v>30</v>
      </c>
      <c r="P46" s="24">
        <f>IF(F46&gt;0,SUMPRODUCT(('Saisie B2C'!D46:AH46+'Saisie B2B'!D46:AH46&gt;=G46)*(Paramètres!$B$7:$AF$7=1)*(Paramètres!$B$4:$AF$4&lt;=Paramètres!$B$10)),0)</f>
        <v>0</v>
      </c>
      <c r="Q46" s="24">
        <f>COUNTIF('Calcul quotidien'!$D$96:$AH$96,B46)</f>
        <v>0</v>
      </c>
      <c r="R46" s="24" t="str">
        <f>IF(OR(F46=0,C46&lt;&gt;"Oui"),"Non éligible",INDEX(Paramètres!$A$15:$A$18,MATCH(L46,Paramètres!$B$15:$B$18,1)))</f>
        <v>Aucun</v>
      </c>
      <c r="S46" s="28">
        <f>IF(R46="Non éligible",0,INDEX(Paramètres!$C$15:$C$18,MATCH(L46,Paramètres!$B$15:$B$18,1)))</f>
        <v>0</v>
      </c>
      <c r="T46" s="28">
        <f>IF(R46="Non éligible",0,P46*Paramètres!$C$20)</f>
        <v>0</v>
      </c>
      <c r="U46" s="28">
        <f>IF(R46="Non éligible",0,Q46*Paramètres!$C$21)</f>
        <v>0</v>
      </c>
      <c r="V46" s="28">
        <f>IF(AND(R46&lt;&gt;"Non éligible",E46&gt;0,J46&gt;=E46),Paramètres!$C$22,0)</f>
        <v>0</v>
      </c>
      <c r="W46" s="28">
        <f t="shared" si="5"/>
        <v>0</v>
      </c>
      <c r="X46" s="24">
        <f t="shared" si="6"/>
        <v>39</v>
      </c>
      <c r="Y46" s="29">
        <f t="shared" si="7"/>
        <v>9.5400000000000001E-6</v>
      </c>
    </row>
    <row r="47" spans="1:25" x14ac:dyDescent="0.45">
      <c r="A47" s="24" t="str">
        <f>'Saisie B2C'!A47</f>
        <v>OMEGA</v>
      </c>
      <c r="B47" s="24" t="str">
        <f>'Saisie B2C'!B47</f>
        <v>pvt_rgz_amarcel</v>
      </c>
      <c r="C47" s="24" t="str">
        <f>'Saisie B2C'!C47</f>
        <v>Oui</v>
      </c>
      <c r="D47" s="25">
        <v>20</v>
      </c>
      <c r="E47" s="25">
        <v>20</v>
      </c>
      <c r="F47" s="24">
        <f t="shared" si="0"/>
        <v>40</v>
      </c>
      <c r="G47" s="26">
        <f>F47/Paramètres!$B$9</f>
        <v>1.8181818181818181</v>
      </c>
      <c r="H47" s="25">
        <v>0</v>
      </c>
      <c r="I47" s="24">
        <f>SUM('Saisie B2C'!D47:AH47)</f>
        <v>0</v>
      </c>
      <c r="J47" s="24">
        <f>SUM('Saisie B2B'!D47:AH47)</f>
        <v>0</v>
      </c>
      <c r="K47" s="24">
        <f t="shared" si="1"/>
        <v>0</v>
      </c>
      <c r="L47" s="27">
        <f t="shared" si="2"/>
        <v>0</v>
      </c>
      <c r="M47" s="26">
        <f>F47*Paramètres!$B$11/Paramètres!$B$9</f>
        <v>1.8181818181818181</v>
      </c>
      <c r="N47" s="27">
        <f t="shared" si="3"/>
        <v>0</v>
      </c>
      <c r="O47" s="24">
        <f t="shared" si="4"/>
        <v>40</v>
      </c>
      <c r="P47" s="24">
        <f>IF(F47&gt;0,SUMPRODUCT(('Saisie B2C'!D47:AH47+'Saisie B2B'!D47:AH47&gt;=G47)*(Paramètres!$B$7:$AF$7=1)*(Paramètres!$B$4:$AF$4&lt;=Paramètres!$B$10)),0)</f>
        <v>0</v>
      </c>
      <c r="Q47" s="24">
        <f>COUNTIF('Calcul quotidien'!$D$96:$AH$96,B47)</f>
        <v>0</v>
      </c>
      <c r="R47" s="24" t="str">
        <f>IF(OR(F47=0,C47&lt;&gt;"Oui"),"Non éligible",INDEX(Paramètres!$A$15:$A$18,MATCH(L47,Paramètres!$B$15:$B$18,1)))</f>
        <v>Aucun</v>
      </c>
      <c r="S47" s="28">
        <f>IF(R47="Non éligible",0,INDEX(Paramètres!$C$15:$C$18,MATCH(L47,Paramètres!$B$15:$B$18,1)))</f>
        <v>0</v>
      </c>
      <c r="T47" s="28">
        <f>IF(R47="Non éligible",0,P47*Paramètres!$C$20)</f>
        <v>0</v>
      </c>
      <c r="U47" s="28">
        <f>IF(R47="Non éligible",0,Q47*Paramètres!$C$21)</f>
        <v>0</v>
      </c>
      <c r="V47" s="28">
        <f>IF(AND(R47&lt;&gt;"Non éligible",E47&gt;0,J47&gt;=E47),Paramètres!$C$22,0)</f>
        <v>0</v>
      </c>
      <c r="W47" s="28">
        <f t="shared" si="5"/>
        <v>0</v>
      </c>
      <c r="X47" s="24">
        <f t="shared" si="6"/>
        <v>40</v>
      </c>
      <c r="Y47" s="29">
        <f t="shared" si="7"/>
        <v>9.5300000000000002E-6</v>
      </c>
    </row>
    <row r="48" spans="1:25" x14ac:dyDescent="0.45">
      <c r="A48" s="24" t="str">
        <f>'Saisie B2C'!A48</f>
        <v>OMEGA</v>
      </c>
      <c r="B48" s="24" t="str">
        <f>'Saisie B2C'!B48</f>
        <v>pvt_rgz_ojeovani.ftth</v>
      </c>
      <c r="C48" s="24" t="str">
        <f>'Saisie B2C'!C48</f>
        <v>Oui</v>
      </c>
      <c r="D48" s="25">
        <v>20</v>
      </c>
      <c r="E48" s="25">
        <v>10</v>
      </c>
      <c r="F48" s="24">
        <f t="shared" si="0"/>
        <v>30</v>
      </c>
      <c r="G48" s="26">
        <f>F48/Paramètres!$B$9</f>
        <v>1.3636363636363635</v>
      </c>
      <c r="H48" s="25">
        <v>0</v>
      </c>
      <c r="I48" s="24">
        <f>SUM('Saisie B2C'!D48:AH48)</f>
        <v>0</v>
      </c>
      <c r="J48" s="24">
        <f>SUM('Saisie B2B'!D48:AH48)</f>
        <v>0</v>
      </c>
      <c r="K48" s="24">
        <f t="shared" si="1"/>
        <v>0</v>
      </c>
      <c r="L48" s="27">
        <f t="shared" si="2"/>
        <v>0</v>
      </c>
      <c r="M48" s="26">
        <f>F48*Paramètres!$B$11/Paramètres!$B$9</f>
        <v>1.3636363636363635</v>
      </c>
      <c r="N48" s="27">
        <f t="shared" si="3"/>
        <v>0</v>
      </c>
      <c r="O48" s="24">
        <f t="shared" si="4"/>
        <v>30</v>
      </c>
      <c r="P48" s="24">
        <f>IF(F48&gt;0,SUMPRODUCT(('Saisie B2C'!D48:AH48+'Saisie B2B'!D48:AH48&gt;=G48)*(Paramètres!$B$7:$AF$7=1)*(Paramètres!$B$4:$AF$4&lt;=Paramètres!$B$10)),0)</f>
        <v>0</v>
      </c>
      <c r="Q48" s="24">
        <f>COUNTIF('Calcul quotidien'!$D$96:$AH$96,B48)</f>
        <v>0</v>
      </c>
      <c r="R48" s="24" t="str">
        <f>IF(OR(F48=0,C48&lt;&gt;"Oui"),"Non éligible",INDEX(Paramètres!$A$15:$A$18,MATCH(L48,Paramètres!$B$15:$B$18,1)))</f>
        <v>Aucun</v>
      </c>
      <c r="S48" s="28">
        <f>IF(R48="Non éligible",0,INDEX(Paramètres!$C$15:$C$18,MATCH(L48,Paramètres!$B$15:$B$18,1)))</f>
        <v>0</v>
      </c>
      <c r="T48" s="28">
        <f>IF(R48="Non éligible",0,P48*Paramètres!$C$20)</f>
        <v>0</v>
      </c>
      <c r="U48" s="28">
        <f>IF(R48="Non éligible",0,Q48*Paramètres!$C$21)</f>
        <v>0</v>
      </c>
      <c r="V48" s="28">
        <f>IF(AND(R48&lt;&gt;"Non éligible",E48&gt;0,J48&gt;=E48),Paramètres!$C$22,0)</f>
        <v>0</v>
      </c>
      <c r="W48" s="28">
        <f t="shared" si="5"/>
        <v>0</v>
      </c>
      <c r="X48" s="24">
        <f t="shared" si="6"/>
        <v>41</v>
      </c>
      <c r="Y48" s="29">
        <f t="shared" si="7"/>
        <v>9.5200000000000003E-6</v>
      </c>
    </row>
    <row r="49" spans="1:25" x14ac:dyDescent="0.45">
      <c r="A49" s="30" t="s">
        <v>162</v>
      </c>
      <c r="B49" s="31"/>
      <c r="C49" s="31"/>
      <c r="D49" s="32">
        <f t="shared" ref="D49:K49" si="8">SUM(D6:D48)</f>
        <v>1247</v>
      </c>
      <c r="E49" s="32">
        <f t="shared" si="8"/>
        <v>240</v>
      </c>
      <c r="F49" s="32">
        <f t="shared" si="8"/>
        <v>1487</v>
      </c>
      <c r="G49" s="33">
        <f t="shared" si="8"/>
        <v>67.590909090909093</v>
      </c>
      <c r="H49" s="32">
        <f t="shared" si="8"/>
        <v>1167</v>
      </c>
      <c r="I49" s="32">
        <f t="shared" si="8"/>
        <v>0</v>
      </c>
      <c r="J49" s="32">
        <f t="shared" si="8"/>
        <v>0</v>
      </c>
      <c r="K49" s="32">
        <f t="shared" si="8"/>
        <v>0</v>
      </c>
      <c r="L49" s="34">
        <f t="shared" si="2"/>
        <v>0</v>
      </c>
      <c r="M49" s="33">
        <f>SUM(M6:M48)</f>
        <v>67.590909090909093</v>
      </c>
      <c r="N49" s="34">
        <f t="shared" si="3"/>
        <v>0</v>
      </c>
      <c r="O49" s="32">
        <f>SUM(O6:O48)</f>
        <v>1487</v>
      </c>
      <c r="P49" s="32">
        <f>SUM(P6:P48)</f>
        <v>0</v>
      </c>
      <c r="Q49" s="32">
        <f>SUM(Q6:Q48)</f>
        <v>0</v>
      </c>
      <c r="R49" s="31"/>
      <c r="S49" s="35">
        <f>SUM(S6:S48)</f>
        <v>0</v>
      </c>
      <c r="T49" s="35">
        <f>SUM(T6:T48)</f>
        <v>0</v>
      </c>
      <c r="U49" s="35">
        <f>SUM(U6:U48)</f>
        <v>0</v>
      </c>
      <c r="V49" s="35">
        <f>SUM(V6:V48)</f>
        <v>0</v>
      </c>
      <c r="W49" s="35">
        <f>SUM(W6:W48)</f>
        <v>0</v>
      </c>
      <c r="X49" s="31"/>
      <c r="Y49" s="31"/>
    </row>
  </sheetData>
  <conditionalFormatting sqref="L6:L48">
    <cfRule type="cellIs" dxfId="8" priority="2" operator="between">
      <formula>0</formula>
      <formula>0.7999</formula>
    </cfRule>
    <cfRule type="cellIs" dxfId="7" priority="3" operator="between">
      <formula>0.8</formula>
      <formula>0.9999</formula>
    </cfRule>
    <cfRule type="cellIs" dxfId="6" priority="4" operator="greaterThanOrEqual">
      <formula>1</formula>
    </cfRule>
  </conditionalFormatting>
  <conditionalFormatting sqref="N6:N48">
    <cfRule type="cellIs" dxfId="5" priority="5" operator="between">
      <formula>0</formula>
      <formula>0.7999</formula>
    </cfRule>
    <cfRule type="cellIs" dxfId="4" priority="6" operator="between">
      <formula>0.8</formula>
      <formula>0.9999</formula>
    </cfRule>
    <cfRule type="cellIs" dxfId="3" priority="7" operator="greaterThanOrEqual">
      <formula>1</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6"/>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6640625" defaultRowHeight="14.25" x14ac:dyDescent="0.45"/>
  <cols>
    <col min="1" max="1" width="11" customWidth="1"/>
    <col min="2" max="2" width="18" customWidth="1"/>
    <col min="3" max="6" width="7" customWidth="1"/>
    <col min="7" max="9" width="8" customWidth="1"/>
    <col min="10" max="10" width="9" customWidth="1"/>
    <col min="11" max="12" width="10" customWidth="1"/>
    <col min="13" max="14" width="9" customWidth="1"/>
    <col min="15" max="15" width="10" customWidth="1"/>
    <col min="16" max="16" width="17" customWidth="1"/>
    <col min="17" max="17" width="11" customWidth="1"/>
    <col min="18" max="18" width="6" customWidth="1"/>
    <col min="19" max="19" width="10" customWidth="1"/>
    <col min="20" max="20" width="11" customWidth="1"/>
    <col min="21" max="21" width="8" customWidth="1"/>
    <col min="22" max="22" width="12" customWidth="1"/>
    <col min="23" max="23" width="6" customWidth="1"/>
  </cols>
  <sheetData>
    <row r="1" spans="1:23" ht="17.649999999999999" x14ac:dyDescent="0.5">
      <c r="A1" s="5" t="s">
        <v>194</v>
      </c>
    </row>
    <row r="2" spans="1:23" x14ac:dyDescent="0.45">
      <c r="A2" s="6" t="s">
        <v>195</v>
      </c>
    </row>
    <row r="5" spans="1:23" ht="31.5" customHeight="1" x14ac:dyDescent="0.45">
      <c r="A5" s="14" t="s">
        <v>73</v>
      </c>
      <c r="B5" s="14" t="s">
        <v>173</v>
      </c>
      <c r="C5" s="14" t="s">
        <v>176</v>
      </c>
      <c r="D5" s="14" t="s">
        <v>177</v>
      </c>
      <c r="E5" s="14" t="s">
        <v>178</v>
      </c>
      <c r="F5" s="14" t="s">
        <v>166</v>
      </c>
      <c r="G5" s="14" t="s">
        <v>179</v>
      </c>
      <c r="H5" s="14" t="s">
        <v>182</v>
      </c>
      <c r="I5" s="14" t="s">
        <v>196</v>
      </c>
      <c r="J5" s="14" t="s">
        <v>172</v>
      </c>
      <c r="K5" s="14" t="s">
        <v>197</v>
      </c>
      <c r="L5" s="14" t="s">
        <v>188</v>
      </c>
      <c r="M5" s="14" t="s">
        <v>198</v>
      </c>
      <c r="N5" s="14" t="s">
        <v>199</v>
      </c>
      <c r="O5" s="14" t="s">
        <v>200</v>
      </c>
      <c r="P5" s="14" t="s">
        <v>47</v>
      </c>
      <c r="Q5" s="14" t="s">
        <v>201</v>
      </c>
      <c r="R5" s="14" t="s">
        <v>192</v>
      </c>
      <c r="S5" s="14" t="s">
        <v>202</v>
      </c>
      <c r="T5" s="14" t="s">
        <v>203</v>
      </c>
      <c r="U5" s="14" t="s">
        <v>204</v>
      </c>
      <c r="V5" s="14" t="s">
        <v>205</v>
      </c>
      <c r="W5" s="14" t="s">
        <v>193</v>
      </c>
    </row>
    <row r="6" spans="1:23" x14ac:dyDescent="0.45">
      <c r="A6" s="24" t="s">
        <v>107</v>
      </c>
      <c r="B6" s="36"/>
      <c r="C6" s="24">
        <f>SUMIF('Suivi Agents'!$A$6:$A$48,$A6,'Suivi Agents'!$D$6:$D$48)</f>
        <v>290</v>
      </c>
      <c r="D6" s="24">
        <f>SUMIF('Suivi Agents'!$A$6:$A$48,$A6,'Suivi Agents'!$E$6:$E$48)</f>
        <v>50</v>
      </c>
      <c r="E6" s="24">
        <f>SUMIF('Suivi Agents'!$A$6:$A$48,$A6,'Suivi Agents'!$F$6:$F$48)</f>
        <v>340</v>
      </c>
      <c r="F6" s="26">
        <f>E6/Paramètres!$B$9</f>
        <v>15.454545454545455</v>
      </c>
      <c r="G6" s="24">
        <f>SUMIF('Suivi Agents'!$A$6:$A$48,$A6,'Suivi Agents'!$H$6:$H$48)</f>
        <v>413</v>
      </c>
      <c r="H6" s="24">
        <f>SUMIF('Suivi Agents'!$A$6:$A$48,$A6,'Suivi Agents'!$K$6:$K$48)</f>
        <v>0</v>
      </c>
      <c r="I6" s="27">
        <f t="shared" ref="I6:I16" si="0">IF(E6&gt;0,H6/E6,"")</f>
        <v>0</v>
      </c>
      <c r="J6" s="27">
        <f>IF(E6&gt;0,H6/(E6*Paramètres!$B$11/Paramètres!$B$9),"")</f>
        <v>0</v>
      </c>
      <c r="K6" s="24">
        <f>SUM('Calcul quotidien'!D111:AH111)</f>
        <v>0</v>
      </c>
      <c r="L6" s="28">
        <f>K6*Paramètres!$C$33</f>
        <v>0</v>
      </c>
      <c r="M6" s="24">
        <f>COUNTIFS('Suivi Agents'!$A$6:$A$48,$A6,'Suivi Agents'!$F$6:$F$48,"&gt;0")</f>
        <v>12</v>
      </c>
      <c r="N6" s="24">
        <f>COUNTIFS('Suivi Agents'!$A$6:$A$48,$A6,'Suivi Agents'!$L$6:$L$48,"&gt;="&amp;Paramètres!$C$31)</f>
        <v>0</v>
      </c>
      <c r="O6" s="27">
        <f t="shared" ref="O6:O15" si="1">IF(M6&gt;0,N6/M6,0)</f>
        <v>0</v>
      </c>
      <c r="P6" s="24" t="str">
        <f>IF(O6&lt;Paramètres!$C$32,"Bloqué (activation)",INDEX(Paramètres!$A$26:$A$29,MATCH(I6,Paramètres!$B$26:$B$29,1)))</f>
        <v>Bloqué (activation)</v>
      </c>
      <c r="Q6" s="28">
        <f>IF(O6&lt;Paramètres!$C$32,0,INDEX(Paramètres!$C$26:$C$29,MATCH(I6,Paramètres!$B$26:$B$29,1)))</f>
        <v>0</v>
      </c>
      <c r="R6" s="24">
        <f t="shared" ref="R6:R15" si="2">RANK(W6,$W$6:$W$15)</f>
        <v>1</v>
      </c>
      <c r="S6" s="28">
        <f>IF(AND(R6=1,I6&gt;=Paramètres!$C$35),Paramètres!$C$34,0)</f>
        <v>0</v>
      </c>
      <c r="T6" s="28">
        <f t="shared" ref="T6:T15" si="3">L6+Q6</f>
        <v>0</v>
      </c>
      <c r="U6" s="37">
        <v>0.2</v>
      </c>
      <c r="V6" s="28">
        <f>(SUMIF('Suivi Agents'!$A$6:$A$48,$A6,'Suivi Agents'!$I$6:$I$48)*Paramètres!$C$38+SUMIF('Suivi Agents'!$A$6:$A$48,$A6,'Suivi Agents'!$J$6:$J$48)*Paramètres!$C$39)*U6</f>
        <v>0</v>
      </c>
      <c r="W6" s="29">
        <f t="shared" ref="W6:W15" si="4">IF(E6&gt;0,I6+H6/100000+(1000-ROW())/100000000,-1)</f>
        <v>9.9399999999999997E-6</v>
      </c>
    </row>
    <row r="7" spans="1:23" x14ac:dyDescent="0.45">
      <c r="A7" s="24" t="s">
        <v>123</v>
      </c>
      <c r="B7" s="36"/>
      <c r="C7" s="24">
        <f>SUMIF('Suivi Agents'!$A$6:$A$48,$A7,'Suivi Agents'!$D$6:$D$48)</f>
        <v>70</v>
      </c>
      <c r="D7" s="24">
        <f>SUMIF('Suivi Agents'!$A$6:$A$48,$A7,'Suivi Agents'!$E$6:$E$48)</f>
        <v>30</v>
      </c>
      <c r="E7" s="24">
        <f>SUMIF('Suivi Agents'!$A$6:$A$48,$A7,'Suivi Agents'!$F$6:$F$48)</f>
        <v>100</v>
      </c>
      <c r="F7" s="26">
        <f>E7/Paramètres!$B$9</f>
        <v>4.5454545454545459</v>
      </c>
      <c r="G7" s="24">
        <f>SUMIF('Suivi Agents'!$A$6:$A$48,$A7,'Suivi Agents'!$H$6:$H$48)</f>
        <v>77</v>
      </c>
      <c r="H7" s="24">
        <f>SUMIF('Suivi Agents'!$A$6:$A$48,$A7,'Suivi Agents'!$K$6:$K$48)</f>
        <v>0</v>
      </c>
      <c r="I7" s="27">
        <f t="shared" si="0"/>
        <v>0</v>
      </c>
      <c r="J7" s="27">
        <f>IF(E7&gt;0,H7/(E7*Paramètres!$B$11/Paramètres!$B$9),"")</f>
        <v>0</v>
      </c>
      <c r="K7" s="24">
        <f>SUM('Calcul quotidien'!D112:AH112)</f>
        <v>0</v>
      </c>
      <c r="L7" s="28">
        <f>K7*Paramètres!$C$33</f>
        <v>0</v>
      </c>
      <c r="M7" s="24">
        <f>COUNTIFS('Suivi Agents'!$A$6:$A$48,$A7,'Suivi Agents'!$F$6:$F$48,"&gt;0")</f>
        <v>3</v>
      </c>
      <c r="N7" s="24">
        <f>COUNTIFS('Suivi Agents'!$A$6:$A$48,$A7,'Suivi Agents'!$L$6:$L$48,"&gt;="&amp;Paramètres!$C$31)</f>
        <v>0</v>
      </c>
      <c r="O7" s="27">
        <f t="shared" si="1"/>
        <v>0</v>
      </c>
      <c r="P7" s="24" t="str">
        <f>IF(O7&lt;Paramètres!$C$32,"Bloqué (activation)",INDEX(Paramètres!$A$26:$A$29,MATCH(I7,Paramètres!$B$26:$B$29,1)))</f>
        <v>Bloqué (activation)</v>
      </c>
      <c r="Q7" s="28">
        <f>IF(O7&lt;Paramètres!$C$32,0,INDEX(Paramètres!$C$26:$C$29,MATCH(I7,Paramètres!$B$26:$B$29,1)))</f>
        <v>0</v>
      </c>
      <c r="R7" s="24">
        <f t="shared" si="2"/>
        <v>2</v>
      </c>
      <c r="S7" s="28">
        <f>IF(AND(R7=1,I7&gt;=Paramètres!$C$35),Paramètres!$C$34,0)</f>
        <v>0</v>
      </c>
      <c r="T7" s="28">
        <f t="shared" si="3"/>
        <v>0</v>
      </c>
      <c r="U7" s="37">
        <v>0.2</v>
      </c>
      <c r="V7" s="28">
        <f>(SUMIF('Suivi Agents'!$A$6:$A$48,$A7,'Suivi Agents'!$I$6:$I$48)*Paramètres!$C$38+SUMIF('Suivi Agents'!$A$6:$A$48,$A7,'Suivi Agents'!$J$6:$J$48)*Paramètres!$C$39)*U7</f>
        <v>0</v>
      </c>
      <c r="W7" s="29">
        <f t="shared" si="4"/>
        <v>9.9299999999999998E-6</v>
      </c>
    </row>
    <row r="8" spans="1:23" x14ac:dyDescent="0.45">
      <c r="A8" s="24" t="s">
        <v>127</v>
      </c>
      <c r="B8" s="36"/>
      <c r="C8" s="24">
        <f>SUMIF('Suivi Agents'!$A$6:$A$48,$A8,'Suivi Agents'!$D$6:$D$48)</f>
        <v>200</v>
      </c>
      <c r="D8" s="24">
        <f>SUMIF('Suivi Agents'!$A$6:$A$48,$A8,'Suivi Agents'!$E$6:$E$48)</f>
        <v>10</v>
      </c>
      <c r="E8" s="24">
        <f>SUMIF('Suivi Agents'!$A$6:$A$48,$A8,'Suivi Agents'!$F$6:$F$48)</f>
        <v>210</v>
      </c>
      <c r="F8" s="26">
        <f>E8/Paramètres!$B$9</f>
        <v>9.545454545454545</v>
      </c>
      <c r="G8" s="24">
        <f>SUMIF('Suivi Agents'!$A$6:$A$48,$A8,'Suivi Agents'!$H$6:$H$48)</f>
        <v>207</v>
      </c>
      <c r="H8" s="24">
        <f>SUMIF('Suivi Agents'!$A$6:$A$48,$A8,'Suivi Agents'!$K$6:$K$48)</f>
        <v>0</v>
      </c>
      <c r="I8" s="27">
        <f t="shared" si="0"/>
        <v>0</v>
      </c>
      <c r="J8" s="27">
        <f>IF(E8&gt;0,H8/(E8*Paramètres!$B$11/Paramètres!$B$9),"")</f>
        <v>0</v>
      </c>
      <c r="K8" s="24">
        <f>SUM('Calcul quotidien'!D113:AH113)</f>
        <v>0</v>
      </c>
      <c r="L8" s="28">
        <f>K8*Paramètres!$C$33</f>
        <v>0</v>
      </c>
      <c r="M8" s="24">
        <f>COUNTIFS('Suivi Agents'!$A$6:$A$48,$A8,'Suivi Agents'!$F$6:$F$48,"&gt;0")</f>
        <v>4</v>
      </c>
      <c r="N8" s="24">
        <f>COUNTIFS('Suivi Agents'!$A$6:$A$48,$A8,'Suivi Agents'!$L$6:$L$48,"&gt;="&amp;Paramètres!$C$31)</f>
        <v>0</v>
      </c>
      <c r="O8" s="27">
        <f t="shared" si="1"/>
        <v>0</v>
      </c>
      <c r="P8" s="24" t="str">
        <f>IF(O8&lt;Paramètres!$C$32,"Bloqué (activation)",INDEX(Paramètres!$A$26:$A$29,MATCH(I8,Paramètres!$B$26:$B$29,1)))</f>
        <v>Bloqué (activation)</v>
      </c>
      <c r="Q8" s="28">
        <f>IF(O8&lt;Paramètres!$C$32,0,INDEX(Paramètres!$C$26:$C$29,MATCH(I8,Paramètres!$B$26:$B$29,1)))</f>
        <v>0</v>
      </c>
      <c r="R8" s="24">
        <f t="shared" si="2"/>
        <v>3</v>
      </c>
      <c r="S8" s="28">
        <f>IF(AND(R8=1,I8&gt;=Paramètres!$C$35),Paramètres!$C$34,0)</f>
        <v>0</v>
      </c>
      <c r="T8" s="28">
        <f t="shared" si="3"/>
        <v>0</v>
      </c>
      <c r="U8" s="37">
        <v>0.2</v>
      </c>
      <c r="V8" s="28">
        <f>(SUMIF('Suivi Agents'!$A$6:$A$48,$A8,'Suivi Agents'!$I$6:$I$48)*Paramètres!$C$38+SUMIF('Suivi Agents'!$A$6:$A$48,$A8,'Suivi Agents'!$J$6:$J$48)*Paramètres!$C$39)*U8</f>
        <v>0</v>
      </c>
      <c r="W8" s="29">
        <f t="shared" si="4"/>
        <v>9.9199999999999999E-6</v>
      </c>
    </row>
    <row r="9" spans="1:23" x14ac:dyDescent="0.45">
      <c r="A9" s="24" t="s">
        <v>132</v>
      </c>
      <c r="B9" s="36"/>
      <c r="C9" s="24">
        <f>SUMIF('Suivi Agents'!$A$6:$A$48,$A9,'Suivi Agents'!$D$6:$D$48)</f>
        <v>100</v>
      </c>
      <c r="D9" s="24">
        <f>SUMIF('Suivi Agents'!$A$6:$A$48,$A9,'Suivi Agents'!$E$6:$E$48)</f>
        <v>20</v>
      </c>
      <c r="E9" s="24">
        <f>SUMIF('Suivi Agents'!$A$6:$A$48,$A9,'Suivi Agents'!$F$6:$F$48)</f>
        <v>120</v>
      </c>
      <c r="F9" s="26">
        <f>E9/Paramètres!$B$9</f>
        <v>5.4545454545454541</v>
      </c>
      <c r="G9" s="24">
        <f>SUMIF('Suivi Agents'!$A$6:$A$48,$A9,'Suivi Agents'!$H$6:$H$48)</f>
        <v>61</v>
      </c>
      <c r="H9" s="24">
        <f>SUMIF('Suivi Agents'!$A$6:$A$48,$A9,'Suivi Agents'!$K$6:$K$48)</f>
        <v>0</v>
      </c>
      <c r="I9" s="27">
        <f t="shared" si="0"/>
        <v>0</v>
      </c>
      <c r="J9" s="27">
        <f>IF(E9&gt;0,H9/(E9*Paramètres!$B$11/Paramètres!$B$9),"")</f>
        <v>0</v>
      </c>
      <c r="K9" s="24">
        <f>SUM('Calcul quotidien'!D114:AH114)</f>
        <v>0</v>
      </c>
      <c r="L9" s="28">
        <f>K9*Paramètres!$C$33</f>
        <v>0</v>
      </c>
      <c r="M9" s="24">
        <f>COUNTIFS('Suivi Agents'!$A$6:$A$48,$A9,'Suivi Agents'!$F$6:$F$48,"&gt;0")</f>
        <v>2</v>
      </c>
      <c r="N9" s="24">
        <f>COUNTIFS('Suivi Agents'!$A$6:$A$48,$A9,'Suivi Agents'!$L$6:$L$48,"&gt;="&amp;Paramètres!$C$31)</f>
        <v>0</v>
      </c>
      <c r="O9" s="27">
        <f t="shared" si="1"/>
        <v>0</v>
      </c>
      <c r="P9" s="24" t="str">
        <f>IF(O9&lt;Paramètres!$C$32,"Bloqué (activation)",INDEX(Paramètres!$A$26:$A$29,MATCH(I9,Paramètres!$B$26:$B$29,1)))</f>
        <v>Bloqué (activation)</v>
      </c>
      <c r="Q9" s="28">
        <f>IF(O9&lt;Paramètres!$C$32,0,INDEX(Paramètres!$C$26:$C$29,MATCH(I9,Paramètres!$B$26:$B$29,1)))</f>
        <v>0</v>
      </c>
      <c r="R9" s="24">
        <f t="shared" si="2"/>
        <v>4</v>
      </c>
      <c r="S9" s="28">
        <f>IF(AND(R9=1,I9&gt;=Paramètres!$C$35),Paramètres!$C$34,0)</f>
        <v>0</v>
      </c>
      <c r="T9" s="28">
        <f t="shared" si="3"/>
        <v>0</v>
      </c>
      <c r="U9" s="37">
        <v>0.2</v>
      </c>
      <c r="V9" s="28">
        <f>(SUMIF('Suivi Agents'!$A$6:$A$48,$A9,'Suivi Agents'!$I$6:$I$48)*Paramètres!$C$38+SUMIF('Suivi Agents'!$A$6:$A$48,$A9,'Suivi Agents'!$J$6:$J$48)*Paramètres!$C$39)*U9</f>
        <v>0</v>
      </c>
      <c r="W9" s="29">
        <f t="shared" si="4"/>
        <v>9.91E-6</v>
      </c>
    </row>
    <row r="10" spans="1:23" x14ac:dyDescent="0.45">
      <c r="A10" s="24" t="s">
        <v>136</v>
      </c>
      <c r="B10" s="36"/>
      <c r="C10" s="24">
        <f>SUMIF('Suivi Agents'!$A$6:$A$48,$A10,'Suivi Agents'!$D$6:$D$48)</f>
        <v>70</v>
      </c>
      <c r="D10" s="24">
        <f>SUMIF('Suivi Agents'!$A$6:$A$48,$A10,'Suivi Agents'!$E$6:$E$48)</f>
        <v>10</v>
      </c>
      <c r="E10" s="24">
        <f>SUMIF('Suivi Agents'!$A$6:$A$48,$A10,'Suivi Agents'!$F$6:$F$48)</f>
        <v>80</v>
      </c>
      <c r="F10" s="26">
        <f>E10/Paramètres!$B$9</f>
        <v>3.6363636363636362</v>
      </c>
      <c r="G10" s="24">
        <f>SUMIF('Suivi Agents'!$A$6:$A$48,$A10,'Suivi Agents'!$H$6:$H$48)</f>
        <v>30</v>
      </c>
      <c r="H10" s="24">
        <f>SUMIF('Suivi Agents'!$A$6:$A$48,$A10,'Suivi Agents'!$K$6:$K$48)</f>
        <v>0</v>
      </c>
      <c r="I10" s="27">
        <f t="shared" si="0"/>
        <v>0</v>
      </c>
      <c r="J10" s="27">
        <f>IF(E10&gt;0,H10/(E10*Paramètres!$B$11/Paramètres!$B$9),"")</f>
        <v>0</v>
      </c>
      <c r="K10" s="24">
        <f>SUM('Calcul quotidien'!D115:AH115)</f>
        <v>0</v>
      </c>
      <c r="L10" s="28">
        <f>K10*Paramètres!$C$33</f>
        <v>0</v>
      </c>
      <c r="M10" s="24">
        <f>COUNTIFS('Suivi Agents'!$A$6:$A$48,$A10,'Suivi Agents'!$F$6:$F$48,"&gt;0")</f>
        <v>2</v>
      </c>
      <c r="N10" s="24">
        <f>COUNTIFS('Suivi Agents'!$A$6:$A$48,$A10,'Suivi Agents'!$L$6:$L$48,"&gt;="&amp;Paramètres!$C$31)</f>
        <v>0</v>
      </c>
      <c r="O10" s="27">
        <f t="shared" si="1"/>
        <v>0</v>
      </c>
      <c r="P10" s="24" t="str">
        <f>IF(O10&lt;Paramètres!$C$32,"Bloqué (activation)",INDEX(Paramètres!$A$26:$A$29,MATCH(I10,Paramètres!$B$26:$B$29,1)))</f>
        <v>Bloqué (activation)</v>
      </c>
      <c r="Q10" s="28">
        <f>IF(O10&lt;Paramètres!$C$32,0,INDEX(Paramètres!$C$26:$C$29,MATCH(I10,Paramètres!$B$26:$B$29,1)))</f>
        <v>0</v>
      </c>
      <c r="R10" s="24">
        <f t="shared" si="2"/>
        <v>5</v>
      </c>
      <c r="S10" s="28">
        <f>IF(AND(R10=1,I10&gt;=Paramètres!$C$35),Paramètres!$C$34,0)</f>
        <v>0</v>
      </c>
      <c r="T10" s="28">
        <f t="shared" si="3"/>
        <v>0</v>
      </c>
      <c r="U10" s="37">
        <v>0.2</v>
      </c>
      <c r="V10" s="28">
        <f>(SUMIF('Suivi Agents'!$A$6:$A$48,$A10,'Suivi Agents'!$I$6:$I$48)*Paramètres!$C$38+SUMIF('Suivi Agents'!$A$6:$A$48,$A10,'Suivi Agents'!$J$6:$J$48)*Paramètres!$C$39)*U10</f>
        <v>0</v>
      </c>
      <c r="W10" s="29">
        <f t="shared" si="4"/>
        <v>9.9000000000000001E-6</v>
      </c>
    </row>
    <row r="11" spans="1:23" x14ac:dyDescent="0.45">
      <c r="A11" s="24" t="s">
        <v>139</v>
      </c>
      <c r="B11" s="36"/>
      <c r="C11" s="24">
        <f>SUMIF('Suivi Agents'!$A$6:$A$48,$A11,'Suivi Agents'!$D$6:$D$48)</f>
        <v>120</v>
      </c>
      <c r="D11" s="24">
        <f>SUMIF('Suivi Agents'!$A$6:$A$48,$A11,'Suivi Agents'!$E$6:$E$48)</f>
        <v>10</v>
      </c>
      <c r="E11" s="24">
        <f>SUMIF('Suivi Agents'!$A$6:$A$48,$A11,'Suivi Agents'!$F$6:$F$48)</f>
        <v>130</v>
      </c>
      <c r="F11" s="26">
        <f>E11/Paramètres!$B$9</f>
        <v>5.9090909090909092</v>
      </c>
      <c r="G11" s="24">
        <f>SUMIF('Suivi Agents'!$A$6:$A$48,$A11,'Suivi Agents'!$H$6:$H$48)</f>
        <v>151</v>
      </c>
      <c r="H11" s="24">
        <f>SUMIF('Suivi Agents'!$A$6:$A$48,$A11,'Suivi Agents'!$K$6:$K$48)</f>
        <v>0</v>
      </c>
      <c r="I11" s="27">
        <f t="shared" si="0"/>
        <v>0</v>
      </c>
      <c r="J11" s="27">
        <f>IF(E11&gt;0,H11/(E11*Paramètres!$B$11/Paramètres!$B$9),"")</f>
        <v>0</v>
      </c>
      <c r="K11" s="24">
        <f>SUM('Calcul quotidien'!D116:AH116)</f>
        <v>0</v>
      </c>
      <c r="L11" s="28">
        <f>K11*Paramètres!$C$33</f>
        <v>0</v>
      </c>
      <c r="M11" s="24">
        <f>COUNTIFS('Suivi Agents'!$A$6:$A$48,$A11,'Suivi Agents'!$F$6:$F$48,"&gt;0")</f>
        <v>4</v>
      </c>
      <c r="N11" s="24">
        <f>COUNTIFS('Suivi Agents'!$A$6:$A$48,$A11,'Suivi Agents'!$L$6:$L$48,"&gt;="&amp;Paramètres!$C$31)</f>
        <v>0</v>
      </c>
      <c r="O11" s="27">
        <f t="shared" si="1"/>
        <v>0</v>
      </c>
      <c r="P11" s="24" t="str">
        <f>IF(O11&lt;Paramètres!$C$32,"Bloqué (activation)",INDEX(Paramètres!$A$26:$A$29,MATCH(I11,Paramètres!$B$26:$B$29,1)))</f>
        <v>Bloqué (activation)</v>
      </c>
      <c r="Q11" s="28">
        <f>IF(O11&lt;Paramètres!$C$32,0,INDEX(Paramètres!$C$26:$C$29,MATCH(I11,Paramètres!$B$26:$B$29,1)))</f>
        <v>0</v>
      </c>
      <c r="R11" s="24">
        <f t="shared" si="2"/>
        <v>6</v>
      </c>
      <c r="S11" s="28">
        <f>IF(AND(R11=1,I11&gt;=Paramètres!$C$35),Paramètres!$C$34,0)</f>
        <v>0</v>
      </c>
      <c r="T11" s="28">
        <f t="shared" si="3"/>
        <v>0</v>
      </c>
      <c r="U11" s="37">
        <v>0.2</v>
      </c>
      <c r="V11" s="28">
        <f>(SUMIF('Suivi Agents'!$A$6:$A$48,$A11,'Suivi Agents'!$I$6:$I$48)*Paramètres!$C$38+SUMIF('Suivi Agents'!$A$6:$A$48,$A11,'Suivi Agents'!$J$6:$J$48)*Paramètres!$C$39)*U11</f>
        <v>0</v>
      </c>
      <c r="W11" s="29">
        <f t="shared" si="4"/>
        <v>9.8900000000000002E-6</v>
      </c>
    </row>
    <row r="12" spans="1:23" x14ac:dyDescent="0.45">
      <c r="A12" s="24" t="s">
        <v>144</v>
      </c>
      <c r="B12" s="36"/>
      <c r="C12" s="24">
        <f>SUMIF('Suivi Agents'!$A$6:$A$48,$A12,'Suivi Agents'!$D$6:$D$48)</f>
        <v>120</v>
      </c>
      <c r="D12" s="24">
        <f>SUMIF('Suivi Agents'!$A$6:$A$48,$A12,'Suivi Agents'!$E$6:$E$48)</f>
        <v>20</v>
      </c>
      <c r="E12" s="24">
        <f>SUMIF('Suivi Agents'!$A$6:$A$48,$A12,'Suivi Agents'!$F$6:$F$48)</f>
        <v>140</v>
      </c>
      <c r="F12" s="26">
        <f>E12/Paramètres!$B$9</f>
        <v>6.3636363636363633</v>
      </c>
      <c r="G12" s="24">
        <f>SUMIF('Suivi Agents'!$A$6:$A$48,$A12,'Suivi Agents'!$H$6:$H$48)</f>
        <v>76</v>
      </c>
      <c r="H12" s="24">
        <f>SUMIF('Suivi Agents'!$A$6:$A$48,$A12,'Suivi Agents'!$K$6:$K$48)</f>
        <v>0</v>
      </c>
      <c r="I12" s="27">
        <f t="shared" si="0"/>
        <v>0</v>
      </c>
      <c r="J12" s="27">
        <f>IF(E12&gt;0,H12/(E12*Paramètres!$B$11/Paramètres!$B$9),"")</f>
        <v>0</v>
      </c>
      <c r="K12" s="24">
        <f>SUM('Calcul quotidien'!D117:AH117)</f>
        <v>0</v>
      </c>
      <c r="L12" s="28">
        <f>K12*Paramètres!$C$33</f>
        <v>0</v>
      </c>
      <c r="M12" s="24">
        <f>COUNTIFS('Suivi Agents'!$A$6:$A$48,$A12,'Suivi Agents'!$F$6:$F$48,"&gt;0")</f>
        <v>4</v>
      </c>
      <c r="N12" s="24">
        <f>COUNTIFS('Suivi Agents'!$A$6:$A$48,$A12,'Suivi Agents'!$L$6:$L$48,"&gt;="&amp;Paramètres!$C$31)</f>
        <v>0</v>
      </c>
      <c r="O12" s="27">
        <f t="shared" si="1"/>
        <v>0</v>
      </c>
      <c r="P12" s="24" t="str">
        <f>IF(O12&lt;Paramètres!$C$32,"Bloqué (activation)",INDEX(Paramètres!$A$26:$A$29,MATCH(I12,Paramètres!$B$26:$B$29,1)))</f>
        <v>Bloqué (activation)</v>
      </c>
      <c r="Q12" s="28">
        <f>IF(O12&lt;Paramètres!$C$32,0,INDEX(Paramètres!$C$26:$C$29,MATCH(I12,Paramètres!$B$26:$B$29,1)))</f>
        <v>0</v>
      </c>
      <c r="R12" s="24">
        <f t="shared" si="2"/>
        <v>7</v>
      </c>
      <c r="S12" s="28">
        <f>IF(AND(R12=1,I12&gt;=Paramètres!$C$35),Paramètres!$C$34,0)</f>
        <v>0</v>
      </c>
      <c r="T12" s="28">
        <f t="shared" si="3"/>
        <v>0</v>
      </c>
      <c r="U12" s="37">
        <v>0</v>
      </c>
      <c r="V12" s="28">
        <f>(SUMIF('Suivi Agents'!$A$6:$A$48,$A12,'Suivi Agents'!$I$6:$I$48)*Paramètres!$C$38+SUMIF('Suivi Agents'!$A$6:$A$48,$A12,'Suivi Agents'!$J$6:$J$48)*Paramètres!$C$39)*U12</f>
        <v>0</v>
      </c>
      <c r="W12" s="29">
        <f t="shared" si="4"/>
        <v>9.8800000000000003E-6</v>
      </c>
    </row>
    <row r="13" spans="1:23" x14ac:dyDescent="0.45">
      <c r="A13" s="24" t="s">
        <v>149</v>
      </c>
      <c r="B13" s="36"/>
      <c r="C13" s="24">
        <f>SUMIF('Suivi Agents'!$A$6:$A$48,$A13,'Suivi Agents'!$D$6:$D$48)</f>
        <v>157</v>
      </c>
      <c r="D13" s="24">
        <f>SUMIF('Suivi Agents'!$A$6:$A$48,$A13,'Suivi Agents'!$E$6:$E$48)</f>
        <v>10</v>
      </c>
      <c r="E13" s="24">
        <f>SUMIF('Suivi Agents'!$A$6:$A$48,$A13,'Suivi Agents'!$F$6:$F$48)</f>
        <v>167</v>
      </c>
      <c r="F13" s="26">
        <f>E13/Paramètres!$B$9</f>
        <v>7.5909090909090908</v>
      </c>
      <c r="G13" s="24">
        <f>SUMIF('Suivi Agents'!$A$6:$A$48,$A13,'Suivi Agents'!$H$6:$H$48)</f>
        <v>151</v>
      </c>
      <c r="H13" s="24">
        <f>SUMIF('Suivi Agents'!$A$6:$A$48,$A13,'Suivi Agents'!$K$6:$K$48)</f>
        <v>0</v>
      </c>
      <c r="I13" s="27">
        <f t="shared" si="0"/>
        <v>0</v>
      </c>
      <c r="J13" s="27">
        <f>IF(E13&gt;0,H13/(E13*Paramètres!$B$11/Paramètres!$B$9),"")</f>
        <v>0</v>
      </c>
      <c r="K13" s="24">
        <f>SUM('Calcul quotidien'!D118:AH118)</f>
        <v>0</v>
      </c>
      <c r="L13" s="28">
        <f>K13*Paramètres!$C$33</f>
        <v>0</v>
      </c>
      <c r="M13" s="24">
        <f>COUNTIFS('Suivi Agents'!$A$6:$A$48,$A13,'Suivi Agents'!$F$6:$F$48,"&gt;0")</f>
        <v>5</v>
      </c>
      <c r="N13" s="24">
        <f>COUNTIFS('Suivi Agents'!$A$6:$A$48,$A13,'Suivi Agents'!$L$6:$L$48,"&gt;="&amp;Paramètres!$C$31)</f>
        <v>0</v>
      </c>
      <c r="O13" s="27">
        <f t="shared" si="1"/>
        <v>0</v>
      </c>
      <c r="P13" s="24" t="str">
        <f>IF(O13&lt;Paramètres!$C$32,"Bloqué (activation)",INDEX(Paramètres!$A$26:$A$29,MATCH(I13,Paramètres!$B$26:$B$29,1)))</f>
        <v>Bloqué (activation)</v>
      </c>
      <c r="Q13" s="28">
        <f>IF(O13&lt;Paramètres!$C$32,0,INDEX(Paramètres!$C$26:$C$29,MATCH(I13,Paramètres!$B$26:$B$29,1)))</f>
        <v>0</v>
      </c>
      <c r="R13" s="24">
        <f t="shared" si="2"/>
        <v>8</v>
      </c>
      <c r="S13" s="28">
        <f>IF(AND(R13=1,I13&gt;=Paramètres!$C$35),Paramètres!$C$34,0)</f>
        <v>0</v>
      </c>
      <c r="T13" s="28">
        <f t="shared" si="3"/>
        <v>0</v>
      </c>
      <c r="U13" s="37">
        <v>0.2</v>
      </c>
      <c r="V13" s="28">
        <f>(SUMIF('Suivi Agents'!$A$6:$A$48,$A13,'Suivi Agents'!$I$6:$I$48)*Paramètres!$C$38+SUMIF('Suivi Agents'!$A$6:$A$48,$A13,'Suivi Agents'!$J$6:$J$48)*Paramètres!$C$39)*U13</f>
        <v>0</v>
      </c>
      <c r="W13" s="29">
        <f t="shared" si="4"/>
        <v>9.8700000000000004E-6</v>
      </c>
    </row>
    <row r="14" spans="1:23" x14ac:dyDescent="0.45">
      <c r="A14" s="24" t="s">
        <v>155</v>
      </c>
      <c r="B14" s="36"/>
      <c r="C14" s="24">
        <f>SUMIF('Suivi Agents'!$A$6:$A$48,$A14,'Suivi Agents'!$D$6:$D$48)</f>
        <v>60</v>
      </c>
      <c r="D14" s="24">
        <f>SUMIF('Suivi Agents'!$A$6:$A$48,$A14,'Suivi Agents'!$E$6:$E$48)</f>
        <v>40</v>
      </c>
      <c r="E14" s="24">
        <f>SUMIF('Suivi Agents'!$A$6:$A$48,$A14,'Suivi Agents'!$F$6:$F$48)</f>
        <v>100</v>
      </c>
      <c r="F14" s="26">
        <f>E14/Paramètres!$B$9</f>
        <v>4.5454545454545459</v>
      </c>
      <c r="G14" s="24">
        <f>SUMIF('Suivi Agents'!$A$6:$A$48,$A14,'Suivi Agents'!$H$6:$H$48)</f>
        <v>1</v>
      </c>
      <c r="H14" s="24">
        <f>SUMIF('Suivi Agents'!$A$6:$A$48,$A14,'Suivi Agents'!$K$6:$K$48)</f>
        <v>0</v>
      </c>
      <c r="I14" s="27">
        <f t="shared" si="0"/>
        <v>0</v>
      </c>
      <c r="J14" s="27">
        <f>IF(E14&gt;0,H14/(E14*Paramètres!$B$11/Paramètres!$B$9),"")</f>
        <v>0</v>
      </c>
      <c r="K14" s="24">
        <f>SUM('Calcul quotidien'!D119:AH119)</f>
        <v>0</v>
      </c>
      <c r="L14" s="28">
        <f>K14*Paramètres!$C$33</f>
        <v>0</v>
      </c>
      <c r="M14" s="24">
        <f>COUNTIFS('Suivi Agents'!$A$6:$A$48,$A14,'Suivi Agents'!$F$6:$F$48,"&gt;0")</f>
        <v>2</v>
      </c>
      <c r="N14" s="24">
        <f>COUNTIFS('Suivi Agents'!$A$6:$A$48,$A14,'Suivi Agents'!$L$6:$L$48,"&gt;="&amp;Paramètres!$C$31)</f>
        <v>0</v>
      </c>
      <c r="O14" s="27">
        <f t="shared" si="1"/>
        <v>0</v>
      </c>
      <c r="P14" s="24" t="str">
        <f>IF(O14&lt;Paramètres!$C$32,"Bloqué (activation)",INDEX(Paramètres!$A$26:$A$29,MATCH(I14,Paramètres!$B$26:$B$29,1)))</f>
        <v>Bloqué (activation)</v>
      </c>
      <c r="Q14" s="28">
        <f>IF(O14&lt;Paramètres!$C$32,0,INDEX(Paramètres!$C$26:$C$29,MATCH(I14,Paramètres!$B$26:$B$29,1)))</f>
        <v>0</v>
      </c>
      <c r="R14" s="24">
        <f t="shared" si="2"/>
        <v>9</v>
      </c>
      <c r="S14" s="28">
        <f>IF(AND(R14=1,I14&gt;=Paramètres!$C$35),Paramètres!$C$34,0)</f>
        <v>0</v>
      </c>
      <c r="T14" s="28">
        <f t="shared" si="3"/>
        <v>0</v>
      </c>
      <c r="U14" s="37">
        <v>0.2</v>
      </c>
      <c r="V14" s="28">
        <f>(SUMIF('Suivi Agents'!$A$6:$A$48,$A14,'Suivi Agents'!$I$6:$I$48)*Paramètres!$C$38+SUMIF('Suivi Agents'!$A$6:$A$48,$A14,'Suivi Agents'!$J$6:$J$48)*Paramètres!$C$39)*U14</f>
        <v>0</v>
      </c>
      <c r="W14" s="29">
        <f t="shared" si="4"/>
        <v>9.8600000000000005E-6</v>
      </c>
    </row>
    <row r="15" spans="1:23" x14ac:dyDescent="0.45">
      <c r="A15" s="24" t="s">
        <v>158</v>
      </c>
      <c r="B15" s="36"/>
      <c r="C15" s="24">
        <f>SUMIF('Suivi Agents'!$A$6:$A$48,$A15,'Suivi Agents'!$D$6:$D$48)</f>
        <v>60</v>
      </c>
      <c r="D15" s="24">
        <f>SUMIF('Suivi Agents'!$A$6:$A$48,$A15,'Suivi Agents'!$E$6:$E$48)</f>
        <v>40</v>
      </c>
      <c r="E15" s="24">
        <f>SUMIF('Suivi Agents'!$A$6:$A$48,$A15,'Suivi Agents'!$F$6:$F$48)</f>
        <v>100</v>
      </c>
      <c r="F15" s="26">
        <f>E15/Paramètres!$B$9</f>
        <v>4.5454545454545459</v>
      </c>
      <c r="G15" s="24">
        <f>SUMIF('Suivi Agents'!$A$6:$A$48,$A15,'Suivi Agents'!$H$6:$H$48)</f>
        <v>0</v>
      </c>
      <c r="H15" s="24">
        <f>SUMIF('Suivi Agents'!$A$6:$A$48,$A15,'Suivi Agents'!$K$6:$K$48)</f>
        <v>0</v>
      </c>
      <c r="I15" s="27">
        <f t="shared" si="0"/>
        <v>0</v>
      </c>
      <c r="J15" s="27">
        <f>IF(E15&gt;0,H15/(E15*Paramètres!$B$11/Paramètres!$B$9),"")</f>
        <v>0</v>
      </c>
      <c r="K15" s="24">
        <f>SUM('Calcul quotidien'!D120:AH120)</f>
        <v>0</v>
      </c>
      <c r="L15" s="28">
        <f>K15*Paramètres!$C$33</f>
        <v>0</v>
      </c>
      <c r="M15" s="24">
        <f>COUNTIFS('Suivi Agents'!$A$6:$A$48,$A15,'Suivi Agents'!$F$6:$F$48,"&gt;0")</f>
        <v>3</v>
      </c>
      <c r="N15" s="24">
        <f>COUNTIFS('Suivi Agents'!$A$6:$A$48,$A15,'Suivi Agents'!$L$6:$L$48,"&gt;="&amp;Paramètres!$C$31)</f>
        <v>0</v>
      </c>
      <c r="O15" s="27">
        <f t="shared" si="1"/>
        <v>0</v>
      </c>
      <c r="P15" s="24" t="str">
        <f>IF(O15&lt;Paramètres!$C$32,"Bloqué (activation)",INDEX(Paramètres!$A$26:$A$29,MATCH(I15,Paramètres!$B$26:$B$29,1)))</f>
        <v>Bloqué (activation)</v>
      </c>
      <c r="Q15" s="28">
        <f>IF(O15&lt;Paramètres!$C$32,0,INDEX(Paramètres!$C$26:$C$29,MATCH(I15,Paramètres!$B$26:$B$29,1)))</f>
        <v>0</v>
      </c>
      <c r="R15" s="24">
        <f t="shared" si="2"/>
        <v>10</v>
      </c>
      <c r="S15" s="28">
        <f>IF(AND(R15=1,I15&gt;=Paramètres!$C$35),Paramètres!$C$34,0)</f>
        <v>0</v>
      </c>
      <c r="T15" s="28">
        <f t="shared" si="3"/>
        <v>0</v>
      </c>
      <c r="U15" s="37">
        <v>0.2</v>
      </c>
      <c r="V15" s="28">
        <f>(SUMIF('Suivi Agents'!$A$6:$A$48,$A15,'Suivi Agents'!$I$6:$I$48)*Paramètres!$C$38+SUMIF('Suivi Agents'!$A$6:$A$48,$A15,'Suivi Agents'!$J$6:$J$48)*Paramètres!$C$39)*U15</f>
        <v>0</v>
      </c>
      <c r="W15" s="29">
        <f t="shared" si="4"/>
        <v>9.8500000000000006E-6</v>
      </c>
    </row>
    <row r="16" spans="1:23" x14ac:dyDescent="0.45">
      <c r="A16" s="30" t="s">
        <v>162</v>
      </c>
      <c r="B16" s="31"/>
      <c r="C16" s="32">
        <f t="shared" ref="C16:H16" si="5">SUM(C6:C15)</f>
        <v>1247</v>
      </c>
      <c r="D16" s="32">
        <f t="shared" si="5"/>
        <v>240</v>
      </c>
      <c r="E16" s="32">
        <f t="shared" si="5"/>
        <v>1487</v>
      </c>
      <c r="F16" s="33">
        <f t="shared" si="5"/>
        <v>67.590909090909093</v>
      </c>
      <c r="G16" s="32">
        <f t="shared" si="5"/>
        <v>1167</v>
      </c>
      <c r="H16" s="32">
        <f t="shared" si="5"/>
        <v>0</v>
      </c>
      <c r="I16" s="34">
        <f t="shared" si="0"/>
        <v>0</v>
      </c>
      <c r="J16" s="34">
        <f>IF(E16&gt;0,H16/(E16*Paramètres!$B$11/Paramètres!$B$9),"")</f>
        <v>0</v>
      </c>
      <c r="K16" s="32">
        <f>SUM(K6:K15)</f>
        <v>0</v>
      </c>
      <c r="L16" s="35">
        <f>SUM(L6:L15)</f>
        <v>0</v>
      </c>
      <c r="M16" s="32">
        <f>SUM(M6:M15)</f>
        <v>41</v>
      </c>
      <c r="N16" s="32">
        <f>SUM(N6:N15)</f>
        <v>0</v>
      </c>
      <c r="O16" s="31"/>
      <c r="P16" s="31"/>
      <c r="Q16" s="35">
        <f>SUM(Q6:Q15)</f>
        <v>0</v>
      </c>
      <c r="R16" s="31"/>
      <c r="S16" s="35">
        <f>SUM(S6:S15)</f>
        <v>0</v>
      </c>
      <c r="T16" s="35">
        <f>SUM(T6:T15)</f>
        <v>0</v>
      </c>
      <c r="U16" s="31"/>
      <c r="V16" s="35">
        <f>SUM(V6:V15)</f>
        <v>0</v>
      </c>
      <c r="W16" s="31"/>
    </row>
  </sheetData>
  <conditionalFormatting sqref="I6:J15">
    <cfRule type="cellIs" dxfId="2" priority="2" operator="between">
      <formula>0</formula>
      <formula>0.8999</formula>
    </cfRule>
    <cfRule type="cellIs" dxfId="1" priority="3" operator="between">
      <formula>0.9</formula>
      <formula>0.9999</formula>
    </cfRule>
    <cfRule type="cellIs" dxfId="0" priority="4" operator="greaterThanOrEqual">
      <formula>1</formula>
    </cfRule>
  </conditionalFormatting>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
  <sheetViews>
    <sheetView zoomScaleNormal="100" workbookViewId="0"/>
  </sheetViews>
  <sheetFormatPr defaultColWidth="8.6640625" defaultRowHeight="14.25" x14ac:dyDescent="0.45"/>
  <cols>
    <col min="1" max="1" width="7" customWidth="1"/>
    <col min="2" max="2" width="26" customWidth="1"/>
    <col min="3" max="3" width="12" customWidth="1"/>
    <col min="4" max="5" width="10" customWidth="1"/>
    <col min="6" max="6" width="9" customWidth="1"/>
    <col min="7" max="7" width="20" customWidth="1"/>
  </cols>
  <sheetData>
    <row r="1" spans="1:7" ht="17.649999999999999" x14ac:dyDescent="0.5">
      <c r="A1" s="5" t="s">
        <v>206</v>
      </c>
    </row>
    <row r="2" spans="1:7" x14ac:dyDescent="0.45">
      <c r="A2" s="6" t="s">
        <v>207</v>
      </c>
    </row>
    <row r="4" spans="1:7" x14ac:dyDescent="0.45">
      <c r="A4" s="14" t="s">
        <v>192</v>
      </c>
      <c r="B4" s="14" t="s">
        <v>208</v>
      </c>
      <c r="C4" s="14" t="s">
        <v>73</v>
      </c>
      <c r="D4" s="14" t="s">
        <v>209</v>
      </c>
      <c r="E4" s="14" t="s">
        <v>52</v>
      </c>
      <c r="F4" s="14" t="s">
        <v>210</v>
      </c>
      <c r="G4" s="14" t="s">
        <v>47</v>
      </c>
    </row>
    <row r="5" spans="1:7" x14ac:dyDescent="0.45">
      <c r="A5" s="38">
        <v>1</v>
      </c>
      <c r="B5" s="21" t="str">
        <f>IFERROR(INDEX('Suivi Agents'!$B$6:$B$48,MATCH(A5,'Suivi Agents'!$X$6:$X$48,0)),"")</f>
        <v>pms_rgz_tosee.ftth</v>
      </c>
      <c r="C5" s="21" t="str">
        <f>IFERROR(INDEX('Suivi Agents'!$A$6:$A$48,MATCH(A5,'Suivi Agents'!$X$6:$X$48,0)),"")</f>
        <v>YANKEE</v>
      </c>
      <c r="D5" s="21">
        <f>IFERROR(INDEX('Suivi Agents'!$K$6:$K$48,MATCH(A5,'Suivi Agents'!$X$6:$X$48,0)),"")</f>
        <v>0</v>
      </c>
      <c r="E5" s="21">
        <f>IFERROR(INDEX('Suivi Agents'!$F$6:$F$48,MATCH(A5,'Suivi Agents'!$X$6:$X$48,0)),"")</f>
        <v>44</v>
      </c>
      <c r="F5" s="23">
        <f>IFERROR(INDEX('Suivi Agents'!$L$6:$L$48,MATCH(A5,'Suivi Agents'!$X$6:$X$48,0)),"")</f>
        <v>0</v>
      </c>
      <c r="G5" s="21" t="str">
        <f>IFERROR(INDEX('Suivi Agents'!$R$6:$R$48,MATCH(A5,'Suivi Agents'!$X$6:$X$48,0)),"")</f>
        <v>Aucun</v>
      </c>
    </row>
    <row r="6" spans="1:7" x14ac:dyDescent="0.45">
      <c r="A6" s="38">
        <v>2</v>
      </c>
      <c r="B6" s="21" t="str">
        <f>IFERROR(INDEX('Suivi Agents'!$B$6:$B$48,MATCH(A6,'Suivi Agents'!$X$6:$X$48,0)),"")</f>
        <v>pvt_rgz_mfrancois.ftth</v>
      </c>
      <c r="C6" s="21" t="str">
        <f>IFERROR(INDEX('Suivi Agents'!$A$6:$A$48,MATCH(A6,'Suivi Agents'!$X$6:$X$48,0)),"")</f>
        <v>YANKEE</v>
      </c>
      <c r="D6" s="21">
        <f>IFERROR(INDEX('Suivi Agents'!$K$6:$K$48,MATCH(A6,'Suivi Agents'!$X$6:$X$48,0)),"")</f>
        <v>0</v>
      </c>
      <c r="E6" s="21">
        <f>IFERROR(INDEX('Suivi Agents'!$F$6:$F$48,MATCH(A6,'Suivi Agents'!$X$6:$X$48,0)),"")</f>
        <v>35</v>
      </c>
      <c r="F6" s="23">
        <f>IFERROR(INDEX('Suivi Agents'!$L$6:$L$48,MATCH(A6,'Suivi Agents'!$X$6:$X$48,0)),"")</f>
        <v>0</v>
      </c>
      <c r="G6" s="21" t="str">
        <f>IFERROR(INDEX('Suivi Agents'!$R$6:$R$48,MATCH(A6,'Suivi Agents'!$X$6:$X$48,0)),"")</f>
        <v>Aucun</v>
      </c>
    </row>
    <row r="7" spans="1:7" x14ac:dyDescent="0.45">
      <c r="A7" s="38">
        <v>3</v>
      </c>
      <c r="B7" s="21" t="str">
        <f>IFERROR(INDEX('Suivi Agents'!$B$6:$B$48,MATCH(A7,'Suivi Agents'!$X$6:$X$48,0)),"")</f>
        <v>pvt_rgz_fadji.ftth</v>
      </c>
      <c r="C7" s="21" t="str">
        <f>IFERROR(INDEX('Suivi Agents'!$A$6:$A$48,MATCH(A7,'Suivi Agents'!$X$6:$X$48,0)),"")</f>
        <v>YANKEE</v>
      </c>
      <c r="D7" s="21">
        <f>IFERROR(INDEX('Suivi Agents'!$K$6:$K$48,MATCH(A7,'Suivi Agents'!$X$6:$X$48,0)),"")</f>
        <v>0</v>
      </c>
      <c r="E7" s="21">
        <f>IFERROR(INDEX('Suivi Agents'!$F$6:$F$48,MATCH(A7,'Suivi Agents'!$X$6:$X$48,0)),"")</f>
        <v>34</v>
      </c>
      <c r="F7" s="23">
        <f>IFERROR(INDEX('Suivi Agents'!$L$6:$L$48,MATCH(A7,'Suivi Agents'!$X$6:$X$48,0)),"")</f>
        <v>0</v>
      </c>
      <c r="G7" s="21" t="str">
        <f>IFERROR(INDEX('Suivi Agents'!$R$6:$R$48,MATCH(A7,'Suivi Agents'!$X$6:$X$48,0)),"")</f>
        <v>Aucun</v>
      </c>
    </row>
    <row r="8" spans="1:7" x14ac:dyDescent="0.45">
      <c r="A8" s="38">
        <v>4</v>
      </c>
      <c r="B8" s="21" t="str">
        <f>IFERROR(INDEX('Suivi Agents'!$B$6:$B$48,MATCH(A8,'Suivi Agents'!$X$6:$X$48,0)),"")</f>
        <v>pvt_rgz_dcharmelie.ftth</v>
      </c>
      <c r="C8" s="21" t="str">
        <f>IFERROR(INDEX('Suivi Agents'!$A$6:$A$48,MATCH(A8,'Suivi Agents'!$X$6:$X$48,0)),"")</f>
        <v>YANKEE</v>
      </c>
      <c r="D8" s="21">
        <f>IFERROR(INDEX('Suivi Agents'!$K$6:$K$48,MATCH(A8,'Suivi Agents'!$X$6:$X$48,0)),"")</f>
        <v>0</v>
      </c>
      <c r="E8" s="21">
        <f>IFERROR(INDEX('Suivi Agents'!$F$6:$F$48,MATCH(A8,'Suivi Agents'!$X$6:$X$48,0)),"")</f>
        <v>28</v>
      </c>
      <c r="F8" s="23">
        <f>IFERROR(INDEX('Suivi Agents'!$L$6:$L$48,MATCH(A8,'Suivi Agents'!$X$6:$X$48,0)),"")</f>
        <v>0</v>
      </c>
      <c r="G8" s="21" t="str">
        <f>IFERROR(INDEX('Suivi Agents'!$R$6:$R$48,MATCH(A8,'Suivi Agents'!$X$6:$X$48,0)),"")</f>
        <v>Aucun</v>
      </c>
    </row>
    <row r="9" spans="1:7" x14ac:dyDescent="0.45">
      <c r="A9" s="38">
        <v>5</v>
      </c>
      <c r="B9" s="21" t="str">
        <f>IFERROR(INDEX('Suivi Agents'!$B$6:$B$48,MATCH(A9,'Suivi Agents'!$X$6:$X$48,0)),"")</f>
        <v>pvt_rgz_gkohla.ftth</v>
      </c>
      <c r="C9" s="21" t="str">
        <f>IFERROR(INDEX('Suivi Agents'!$A$6:$A$48,MATCH(A9,'Suivi Agents'!$X$6:$X$48,0)),"")</f>
        <v>YANKEE</v>
      </c>
      <c r="D9" s="21">
        <f>IFERROR(INDEX('Suivi Agents'!$K$6:$K$48,MATCH(A9,'Suivi Agents'!$X$6:$X$48,0)),"")</f>
        <v>0</v>
      </c>
      <c r="E9" s="21">
        <f>IFERROR(INDEX('Suivi Agents'!$F$6:$F$48,MATCH(A9,'Suivi Agents'!$X$6:$X$48,0)),"")</f>
        <v>36</v>
      </c>
      <c r="F9" s="23">
        <f>IFERROR(INDEX('Suivi Agents'!$L$6:$L$48,MATCH(A9,'Suivi Agents'!$X$6:$X$48,0)),"")</f>
        <v>0</v>
      </c>
      <c r="G9" s="21" t="str">
        <f>IFERROR(INDEX('Suivi Agents'!$R$6:$R$48,MATCH(A9,'Suivi Agents'!$X$6:$X$48,0)),"")</f>
        <v>Aucun</v>
      </c>
    </row>
    <row r="10" spans="1:7" x14ac:dyDescent="0.45">
      <c r="A10" s="38">
        <v>6</v>
      </c>
      <c r="B10" s="21" t="str">
        <f>IFERROR(INDEX('Suivi Agents'!$B$6:$B$48,MATCH(A10,'Suivi Agents'!$X$6:$X$48,0)),"")</f>
        <v>pvt_rgz_rclotoe.ftth</v>
      </c>
      <c r="C10" s="21" t="str">
        <f>IFERROR(INDEX('Suivi Agents'!$A$6:$A$48,MATCH(A10,'Suivi Agents'!$X$6:$X$48,0)),"")</f>
        <v>YANKEE</v>
      </c>
      <c r="D10" s="21">
        <f>IFERROR(INDEX('Suivi Agents'!$K$6:$K$48,MATCH(A10,'Suivi Agents'!$X$6:$X$48,0)),"")</f>
        <v>0</v>
      </c>
      <c r="E10" s="21">
        <f>IFERROR(INDEX('Suivi Agents'!$F$6:$F$48,MATCH(A10,'Suivi Agents'!$X$6:$X$48,0)),"")</f>
        <v>30</v>
      </c>
      <c r="F10" s="23">
        <f>IFERROR(INDEX('Suivi Agents'!$L$6:$L$48,MATCH(A10,'Suivi Agents'!$X$6:$X$48,0)),"")</f>
        <v>0</v>
      </c>
      <c r="G10" s="21" t="str">
        <f>IFERROR(INDEX('Suivi Agents'!$R$6:$R$48,MATCH(A10,'Suivi Agents'!$X$6:$X$48,0)),"")</f>
        <v>Aucun</v>
      </c>
    </row>
    <row r="11" spans="1:7" x14ac:dyDescent="0.45">
      <c r="A11" s="38">
        <v>7</v>
      </c>
      <c r="B11" s="21" t="str">
        <f>IFERROR(INDEX('Suivi Agents'!$B$6:$B$48,MATCH(A11,'Suivi Agents'!$X$6:$X$48,0)),"")</f>
        <v>pvt_rgz_aconstant.ftth</v>
      </c>
      <c r="C11" s="21" t="str">
        <f>IFERROR(INDEX('Suivi Agents'!$A$6:$A$48,MATCH(A11,'Suivi Agents'!$X$6:$X$48,0)),"")</f>
        <v>YANKEE</v>
      </c>
      <c r="D11" s="21">
        <f>IFERROR(INDEX('Suivi Agents'!$K$6:$K$48,MATCH(A11,'Suivi Agents'!$X$6:$X$48,0)),"")</f>
        <v>0</v>
      </c>
      <c r="E11" s="21">
        <f>IFERROR(INDEX('Suivi Agents'!$F$6:$F$48,MATCH(A11,'Suivi Agents'!$X$6:$X$48,0)),"")</f>
        <v>25</v>
      </c>
      <c r="F11" s="23">
        <f>IFERROR(INDEX('Suivi Agents'!$L$6:$L$48,MATCH(A11,'Suivi Agents'!$X$6:$X$48,0)),"")</f>
        <v>0</v>
      </c>
      <c r="G11" s="21" t="str">
        <f>IFERROR(INDEX('Suivi Agents'!$R$6:$R$48,MATCH(A11,'Suivi Agents'!$X$6:$X$48,0)),"")</f>
        <v>Aucun</v>
      </c>
    </row>
    <row r="12" spans="1:7" x14ac:dyDescent="0.45">
      <c r="A12" s="38">
        <v>8</v>
      </c>
      <c r="B12" s="21" t="str">
        <f>IFERROR(INDEX('Suivi Agents'!$B$6:$B$48,MATCH(A12,'Suivi Agents'!$X$6:$X$48,0)),"")</f>
        <v>pvt_rgz_cmessinou.ftth</v>
      </c>
      <c r="C12" s="21" t="str">
        <f>IFERROR(INDEX('Suivi Agents'!$A$6:$A$48,MATCH(A12,'Suivi Agents'!$X$6:$X$48,0)),"")</f>
        <v>YANKEE</v>
      </c>
      <c r="D12" s="21">
        <f>IFERROR(INDEX('Suivi Agents'!$K$6:$K$48,MATCH(A12,'Suivi Agents'!$X$6:$X$48,0)),"")</f>
        <v>0</v>
      </c>
      <c r="E12" s="21">
        <f>IFERROR(INDEX('Suivi Agents'!$F$6:$F$48,MATCH(A12,'Suivi Agents'!$X$6:$X$48,0)),"")</f>
        <v>23</v>
      </c>
      <c r="F12" s="23">
        <f>IFERROR(INDEX('Suivi Agents'!$L$6:$L$48,MATCH(A12,'Suivi Agents'!$X$6:$X$48,0)),"")</f>
        <v>0</v>
      </c>
      <c r="G12" s="21" t="str">
        <f>IFERROR(INDEX('Suivi Agents'!$R$6:$R$48,MATCH(A12,'Suivi Agents'!$X$6:$X$48,0)),"")</f>
        <v>Aucun</v>
      </c>
    </row>
    <row r="13" spans="1:7" x14ac:dyDescent="0.45">
      <c r="A13" s="38">
        <v>9</v>
      </c>
      <c r="B13" s="21" t="str">
        <f>IFERROR(INDEX('Suivi Agents'!$B$6:$B$48,MATCH(A13,'Suivi Agents'!$X$6:$X$48,0)),"")</f>
        <v>pvt_rgz_lsenakpon.ftth</v>
      </c>
      <c r="C13" s="21" t="str">
        <f>IFERROR(INDEX('Suivi Agents'!$A$6:$A$48,MATCH(A13,'Suivi Agents'!$X$6:$X$48,0)),"")</f>
        <v>YANKEE</v>
      </c>
      <c r="D13" s="21">
        <f>IFERROR(INDEX('Suivi Agents'!$K$6:$K$48,MATCH(A13,'Suivi Agents'!$X$6:$X$48,0)),"")</f>
        <v>0</v>
      </c>
      <c r="E13" s="21">
        <f>IFERROR(INDEX('Suivi Agents'!$F$6:$F$48,MATCH(A13,'Suivi Agents'!$X$6:$X$48,0)),"")</f>
        <v>40</v>
      </c>
      <c r="F13" s="23">
        <f>IFERROR(INDEX('Suivi Agents'!$L$6:$L$48,MATCH(A13,'Suivi Agents'!$X$6:$X$48,0)),"")</f>
        <v>0</v>
      </c>
      <c r="G13" s="21" t="str">
        <f>IFERROR(INDEX('Suivi Agents'!$R$6:$R$48,MATCH(A13,'Suivi Agents'!$X$6:$X$48,0)),"")</f>
        <v>Aucun</v>
      </c>
    </row>
    <row r="14" spans="1:7" x14ac:dyDescent="0.45">
      <c r="A14" s="38">
        <v>10</v>
      </c>
      <c r="B14" s="21" t="str">
        <f>IFERROR(INDEX('Suivi Agents'!$B$6:$B$48,MATCH(A14,'Suivi Agents'!$X$6:$X$48,0)),"")</f>
        <v>pvt_rgz_tletitia.ftth</v>
      </c>
      <c r="C14" s="21" t="str">
        <f>IFERROR(INDEX('Suivi Agents'!$A$6:$A$48,MATCH(A14,'Suivi Agents'!$X$6:$X$48,0)),"")</f>
        <v>YANKEE</v>
      </c>
      <c r="D14" s="21">
        <f>IFERROR(INDEX('Suivi Agents'!$K$6:$K$48,MATCH(A14,'Suivi Agents'!$X$6:$X$48,0)),"")</f>
        <v>0</v>
      </c>
      <c r="E14" s="21">
        <f>IFERROR(INDEX('Suivi Agents'!$F$6:$F$48,MATCH(A14,'Suivi Agents'!$X$6:$X$48,0)),"")</f>
        <v>20</v>
      </c>
      <c r="F14" s="23">
        <f>IFERROR(INDEX('Suivi Agents'!$L$6:$L$48,MATCH(A14,'Suivi Agents'!$X$6:$X$48,0)),"")</f>
        <v>0</v>
      </c>
      <c r="G14" s="21" t="str">
        <f>IFERROR(INDEX('Suivi Agents'!$R$6:$R$48,MATCH(A14,'Suivi Agents'!$X$6:$X$48,0)),"")</f>
        <v>Aucun</v>
      </c>
    </row>
    <row r="17" spans="1:7" x14ac:dyDescent="0.45">
      <c r="A17" s="14" t="s">
        <v>192</v>
      </c>
      <c r="B17" s="14" t="s">
        <v>73</v>
      </c>
      <c r="C17" s="14" t="s">
        <v>173</v>
      </c>
      <c r="D17" s="14" t="s">
        <v>209</v>
      </c>
      <c r="E17" s="14" t="s">
        <v>52</v>
      </c>
      <c r="F17" s="14" t="s">
        <v>210</v>
      </c>
      <c r="G17" s="14" t="s">
        <v>211</v>
      </c>
    </row>
    <row r="18" spans="1:7" x14ac:dyDescent="0.45">
      <c r="A18" s="38">
        <v>1</v>
      </c>
      <c r="B18" s="21" t="str">
        <f>IFERROR(INDEX('Suivi Équipes'!$A$6:$A$15,MATCH(A18,'Suivi Équipes'!$R$6:$R$15,0)),"")</f>
        <v>YANKEE</v>
      </c>
      <c r="C18" s="21" t="str">
        <f>IFERROR(INDEX('Suivi Équipes'!$B$6:$B$15,MATCH(A18,'Suivi Équipes'!$R$6:$R$15,0))&amp;"","")</f>
        <v/>
      </c>
      <c r="D18" s="21">
        <f>IFERROR(INDEX('Suivi Équipes'!$H$6:$H$15,MATCH(A18,'Suivi Équipes'!$R$6:$R$15,0)),"")</f>
        <v>0</v>
      </c>
      <c r="E18" s="21">
        <f>IFERROR(INDEX('Suivi Équipes'!$E$6:$E$15,MATCH(A18,'Suivi Équipes'!$R$6:$R$15,0)),"")</f>
        <v>340</v>
      </c>
      <c r="F18" s="23">
        <f>IFERROR(INDEX('Suivi Équipes'!$I$6:$I$15,MATCH(A18,'Suivi Équipes'!$R$6:$R$15,0)),"")</f>
        <v>0</v>
      </c>
      <c r="G18" s="21" t="str">
        <f>IFERROR(INDEX('Suivi Équipes'!$P$6:$P$15,MATCH(A18,'Suivi Équipes'!$R$6:$R$15,0)),"")</f>
        <v>Bloqué (activation)</v>
      </c>
    </row>
    <row r="19" spans="1:7" x14ac:dyDescent="0.45">
      <c r="A19" s="38">
        <v>2</v>
      </c>
      <c r="B19" s="21" t="str">
        <f>IFERROR(INDEX('Suivi Équipes'!$A$6:$A$15,MATCH(A19,'Suivi Équipes'!$R$6:$R$15,0)),"")</f>
        <v>ALPHA</v>
      </c>
      <c r="C19" s="21" t="str">
        <f>IFERROR(INDEX('Suivi Équipes'!$B$6:$B$15,MATCH(A19,'Suivi Équipes'!$R$6:$R$15,0))&amp;"","")</f>
        <v/>
      </c>
      <c r="D19" s="21">
        <f>IFERROR(INDEX('Suivi Équipes'!$H$6:$H$15,MATCH(A19,'Suivi Équipes'!$R$6:$R$15,0)),"")</f>
        <v>0</v>
      </c>
      <c r="E19" s="21">
        <f>IFERROR(INDEX('Suivi Équipes'!$E$6:$E$15,MATCH(A19,'Suivi Équipes'!$R$6:$R$15,0)),"")</f>
        <v>100</v>
      </c>
      <c r="F19" s="23">
        <f>IFERROR(INDEX('Suivi Équipes'!$I$6:$I$15,MATCH(A19,'Suivi Équipes'!$R$6:$R$15,0)),"")</f>
        <v>0</v>
      </c>
      <c r="G19" s="21" t="str">
        <f>IFERROR(INDEX('Suivi Équipes'!$P$6:$P$15,MATCH(A19,'Suivi Équipes'!$R$6:$R$15,0)),"")</f>
        <v>Bloqué (activation)</v>
      </c>
    </row>
    <row r="20" spans="1:7" x14ac:dyDescent="0.45">
      <c r="A20" s="38">
        <v>3</v>
      </c>
      <c r="B20" s="21" t="str">
        <f>IFERROR(INDEX('Suivi Équipes'!$A$6:$A$15,MATCH(A20,'Suivi Équipes'!$R$6:$R$15,0)),"")</f>
        <v>TANGO</v>
      </c>
      <c r="C20" s="21" t="str">
        <f>IFERROR(INDEX('Suivi Équipes'!$B$6:$B$15,MATCH(A20,'Suivi Équipes'!$R$6:$R$15,0))&amp;"","")</f>
        <v/>
      </c>
      <c r="D20" s="21">
        <f>IFERROR(INDEX('Suivi Équipes'!$H$6:$H$15,MATCH(A20,'Suivi Équipes'!$R$6:$R$15,0)),"")</f>
        <v>0</v>
      </c>
      <c r="E20" s="21">
        <f>IFERROR(INDEX('Suivi Équipes'!$E$6:$E$15,MATCH(A20,'Suivi Équipes'!$R$6:$R$15,0)),"")</f>
        <v>210</v>
      </c>
      <c r="F20" s="23">
        <f>IFERROR(INDEX('Suivi Équipes'!$I$6:$I$15,MATCH(A20,'Suivi Équipes'!$R$6:$R$15,0)),"")</f>
        <v>0</v>
      </c>
      <c r="G20" s="21" t="str">
        <f>IFERROR(INDEX('Suivi Équipes'!$P$6:$P$15,MATCH(A20,'Suivi Équipes'!$R$6:$R$15,0)),"")</f>
        <v>Bloqué (activation)</v>
      </c>
    </row>
    <row r="21" spans="1:7" x14ac:dyDescent="0.45">
      <c r="A21" s="38">
        <v>4</v>
      </c>
      <c r="B21" s="21" t="str">
        <f>IFERROR(INDEX('Suivi Équipes'!$A$6:$A$15,MATCH(A21,'Suivi Équipes'!$R$6:$R$15,0)),"")</f>
        <v>ZULU</v>
      </c>
      <c r="C21" s="21" t="str">
        <f>IFERROR(INDEX('Suivi Équipes'!$B$6:$B$15,MATCH(A21,'Suivi Équipes'!$R$6:$R$15,0))&amp;"","")</f>
        <v/>
      </c>
      <c r="D21" s="21">
        <f>IFERROR(INDEX('Suivi Équipes'!$H$6:$H$15,MATCH(A21,'Suivi Équipes'!$R$6:$R$15,0)),"")</f>
        <v>0</v>
      </c>
      <c r="E21" s="21">
        <f>IFERROR(INDEX('Suivi Équipes'!$E$6:$E$15,MATCH(A21,'Suivi Équipes'!$R$6:$R$15,0)),"")</f>
        <v>120</v>
      </c>
      <c r="F21" s="23">
        <f>IFERROR(INDEX('Suivi Équipes'!$I$6:$I$15,MATCH(A21,'Suivi Équipes'!$R$6:$R$15,0)),"")</f>
        <v>0</v>
      </c>
      <c r="G21" s="21" t="str">
        <f>IFERROR(INDEX('Suivi Équipes'!$P$6:$P$15,MATCH(A21,'Suivi Équipes'!$R$6:$R$15,0)),"")</f>
        <v>Bloqué (activation)</v>
      </c>
    </row>
    <row r="22" spans="1:7" x14ac:dyDescent="0.45">
      <c r="A22" s="38">
        <v>5</v>
      </c>
      <c r="B22" s="21" t="str">
        <f>IFERROR(INDEX('Suivi Équipes'!$A$6:$A$15,MATCH(A22,'Suivi Équipes'!$R$6:$R$15,0)),"")</f>
        <v>CHARLIE</v>
      </c>
      <c r="C22" s="21" t="str">
        <f>IFERROR(INDEX('Suivi Équipes'!$B$6:$B$15,MATCH(A22,'Suivi Équipes'!$R$6:$R$15,0))&amp;"","")</f>
        <v/>
      </c>
      <c r="D22" s="21">
        <f>IFERROR(INDEX('Suivi Équipes'!$H$6:$H$15,MATCH(A22,'Suivi Équipes'!$R$6:$R$15,0)),"")</f>
        <v>0</v>
      </c>
      <c r="E22" s="21">
        <f>IFERROR(INDEX('Suivi Équipes'!$E$6:$E$15,MATCH(A22,'Suivi Équipes'!$R$6:$R$15,0)),"")</f>
        <v>80</v>
      </c>
      <c r="F22" s="23">
        <f>IFERROR(INDEX('Suivi Équipes'!$I$6:$I$15,MATCH(A22,'Suivi Équipes'!$R$6:$R$15,0)),"")</f>
        <v>0</v>
      </c>
      <c r="G22" s="21" t="str">
        <f>IFERROR(INDEX('Suivi Équipes'!$P$6:$P$15,MATCH(A22,'Suivi Équipes'!$R$6:$R$15,0)),"")</f>
        <v>Bloqué (activation)</v>
      </c>
    </row>
    <row r="23" spans="1:7" x14ac:dyDescent="0.45">
      <c r="A23" s="38">
        <v>6</v>
      </c>
      <c r="B23" s="21" t="str">
        <f>IFERROR(INDEX('Suivi Équipes'!$A$6:$A$15,MATCH(A23,'Suivi Équipes'!$R$6:$R$15,0)),"")</f>
        <v>MIKE</v>
      </c>
      <c r="C23" s="21" t="str">
        <f>IFERROR(INDEX('Suivi Équipes'!$B$6:$B$15,MATCH(A23,'Suivi Équipes'!$R$6:$R$15,0))&amp;"","")</f>
        <v/>
      </c>
      <c r="D23" s="21">
        <f>IFERROR(INDEX('Suivi Équipes'!$H$6:$H$15,MATCH(A23,'Suivi Équipes'!$R$6:$R$15,0)),"")</f>
        <v>0</v>
      </c>
      <c r="E23" s="21">
        <f>IFERROR(INDEX('Suivi Équipes'!$E$6:$E$15,MATCH(A23,'Suivi Équipes'!$R$6:$R$15,0)),"")</f>
        <v>130</v>
      </c>
      <c r="F23" s="23">
        <f>IFERROR(INDEX('Suivi Équipes'!$I$6:$I$15,MATCH(A23,'Suivi Équipes'!$R$6:$R$15,0)),"")</f>
        <v>0</v>
      </c>
      <c r="G23" s="21" t="str">
        <f>IFERROR(INDEX('Suivi Équipes'!$P$6:$P$15,MATCH(A23,'Suivi Équipes'!$R$6:$R$15,0)),"")</f>
        <v>Bloqué (activation)</v>
      </c>
    </row>
    <row r="24" spans="1:7" x14ac:dyDescent="0.45">
      <c r="A24" s="38">
        <v>7</v>
      </c>
      <c r="B24" s="21" t="str">
        <f>IFERROR(INDEX('Suivi Équipes'!$A$6:$A$15,MATCH(A24,'Suivi Équipes'!$R$6:$R$15,0)),"")</f>
        <v>ANONYMAT</v>
      </c>
      <c r="C24" s="21" t="str">
        <f>IFERROR(INDEX('Suivi Équipes'!$B$6:$B$15,MATCH(A24,'Suivi Équipes'!$R$6:$R$15,0))&amp;"","")</f>
        <v/>
      </c>
      <c r="D24" s="21">
        <f>IFERROR(INDEX('Suivi Équipes'!$H$6:$H$15,MATCH(A24,'Suivi Équipes'!$R$6:$R$15,0)),"")</f>
        <v>0</v>
      </c>
      <c r="E24" s="21">
        <f>IFERROR(INDEX('Suivi Équipes'!$E$6:$E$15,MATCH(A24,'Suivi Équipes'!$R$6:$R$15,0)),"")</f>
        <v>140</v>
      </c>
      <c r="F24" s="23">
        <f>IFERROR(INDEX('Suivi Équipes'!$I$6:$I$15,MATCH(A24,'Suivi Équipes'!$R$6:$R$15,0)),"")</f>
        <v>0</v>
      </c>
      <c r="G24" s="21" t="str">
        <f>IFERROR(INDEX('Suivi Équipes'!$P$6:$P$15,MATCH(A24,'Suivi Équipes'!$R$6:$R$15,0)),"")</f>
        <v>Bloqué (activation)</v>
      </c>
    </row>
    <row r="25" spans="1:7" x14ac:dyDescent="0.45">
      <c r="A25" s="38">
        <v>8</v>
      </c>
      <c r="B25" s="21" t="str">
        <f>IFERROR(INDEX('Suivi Équipes'!$A$6:$A$15,MATCH(A25,'Suivi Équipes'!$R$6:$R$15,0)),"")</f>
        <v>CONCORDE</v>
      </c>
      <c r="C25" s="21" t="str">
        <f>IFERROR(INDEX('Suivi Équipes'!$B$6:$B$15,MATCH(A25,'Suivi Équipes'!$R$6:$R$15,0))&amp;"","")</f>
        <v/>
      </c>
      <c r="D25" s="21">
        <f>IFERROR(INDEX('Suivi Équipes'!$H$6:$H$15,MATCH(A25,'Suivi Équipes'!$R$6:$R$15,0)),"")</f>
        <v>0</v>
      </c>
      <c r="E25" s="21">
        <f>IFERROR(INDEX('Suivi Équipes'!$E$6:$E$15,MATCH(A25,'Suivi Équipes'!$R$6:$R$15,0)),"")</f>
        <v>167</v>
      </c>
      <c r="F25" s="23">
        <f>IFERROR(INDEX('Suivi Équipes'!$I$6:$I$15,MATCH(A25,'Suivi Équipes'!$R$6:$R$15,0)),"")</f>
        <v>0</v>
      </c>
      <c r="G25" s="21" t="str">
        <f>IFERROR(INDEX('Suivi Équipes'!$P$6:$P$15,MATCH(A25,'Suivi Équipes'!$R$6:$R$15,0)),"")</f>
        <v>Bloqué (activation)</v>
      </c>
    </row>
    <row r="26" spans="1:7" x14ac:dyDescent="0.45">
      <c r="A26" s="38">
        <v>9</v>
      </c>
      <c r="B26" s="21" t="str">
        <f>IFERROR(INDEX('Suivi Équipes'!$A$6:$A$15,MATCH(A26,'Suivi Équipes'!$R$6:$R$15,0)),"")</f>
        <v>BRAVO</v>
      </c>
      <c r="C26" s="21" t="str">
        <f>IFERROR(INDEX('Suivi Équipes'!$B$6:$B$15,MATCH(A26,'Suivi Équipes'!$R$6:$R$15,0))&amp;"","")</f>
        <v/>
      </c>
      <c r="D26" s="21">
        <f>IFERROR(INDEX('Suivi Équipes'!$H$6:$H$15,MATCH(A26,'Suivi Équipes'!$R$6:$R$15,0)),"")</f>
        <v>0</v>
      </c>
      <c r="E26" s="21">
        <f>IFERROR(INDEX('Suivi Équipes'!$E$6:$E$15,MATCH(A26,'Suivi Équipes'!$R$6:$R$15,0)),"")</f>
        <v>100</v>
      </c>
      <c r="F26" s="23">
        <f>IFERROR(INDEX('Suivi Équipes'!$I$6:$I$15,MATCH(A26,'Suivi Équipes'!$R$6:$R$15,0)),"")</f>
        <v>0</v>
      </c>
      <c r="G26" s="21" t="str">
        <f>IFERROR(INDEX('Suivi Équipes'!$P$6:$P$15,MATCH(A26,'Suivi Équipes'!$R$6:$R$15,0)),"")</f>
        <v>Bloqué (activation)</v>
      </c>
    </row>
    <row r="27" spans="1:7" x14ac:dyDescent="0.45">
      <c r="A27" s="38">
        <v>10</v>
      </c>
      <c r="B27" s="21" t="str">
        <f>IFERROR(INDEX('Suivi Équipes'!$A$6:$A$15,MATCH(A27,'Suivi Équipes'!$R$6:$R$15,0)),"")</f>
        <v>OMEGA</v>
      </c>
      <c r="C27" s="21" t="str">
        <f>IFERROR(INDEX('Suivi Équipes'!$B$6:$B$15,MATCH(A27,'Suivi Équipes'!$R$6:$R$15,0))&amp;"","")</f>
        <v/>
      </c>
      <c r="D27" s="21">
        <f>IFERROR(INDEX('Suivi Équipes'!$H$6:$H$15,MATCH(A27,'Suivi Équipes'!$R$6:$R$15,0)),"")</f>
        <v>0</v>
      </c>
      <c r="E27" s="21">
        <f>IFERROR(INDEX('Suivi Équipes'!$E$6:$E$15,MATCH(A27,'Suivi Équipes'!$R$6:$R$15,0)),"")</f>
        <v>100</v>
      </c>
      <c r="F27" s="23">
        <f>IFERROR(INDEX('Suivi Équipes'!$I$6:$I$15,MATCH(A27,'Suivi Équipes'!$R$6:$R$15,0)),"")</f>
        <v>0</v>
      </c>
      <c r="G27" s="21" t="str">
        <f>IFERROR(INDEX('Suivi Équipes'!$P$6:$P$15,MATCH(A27,'Suivi Équipes'!$R$6:$R$15,0)),"")</f>
        <v>Bloqué (activation)</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2"/>
  <sheetViews>
    <sheetView zoomScaleNormal="100" workbookViewId="0"/>
  </sheetViews>
  <sheetFormatPr defaultColWidth="8.6640625" defaultRowHeight="14.25" x14ac:dyDescent="0.45"/>
  <cols>
    <col min="1" max="1" width="50" customWidth="1"/>
    <col min="2" max="2" width="16" customWidth="1"/>
  </cols>
  <sheetData>
    <row r="1" spans="1:2" ht="17.649999999999999" x14ac:dyDescent="0.5">
      <c r="A1" s="5" t="s">
        <v>212</v>
      </c>
    </row>
    <row r="2" spans="1:2" x14ac:dyDescent="0.45">
      <c r="A2" s="6" t="s">
        <v>213</v>
      </c>
    </row>
    <row r="4" spans="1:2" x14ac:dyDescent="0.45">
      <c r="A4" s="7" t="s">
        <v>214</v>
      </c>
    </row>
    <row r="5" spans="1:2" x14ac:dyDescent="0.45">
      <c r="A5" s="8" t="s">
        <v>215</v>
      </c>
      <c r="B5" s="39">
        <f>'Suivi Agents'!T49</f>
        <v>0</v>
      </c>
    </row>
    <row r="6" spans="1:2" x14ac:dyDescent="0.45">
      <c r="A6" s="8" t="s">
        <v>216</v>
      </c>
      <c r="B6" s="39">
        <f>'Suivi Agents'!U49</f>
        <v>0</v>
      </c>
    </row>
    <row r="7" spans="1:2" x14ac:dyDescent="0.45">
      <c r="A7" s="8" t="s">
        <v>217</v>
      </c>
      <c r="B7" s="39">
        <f>'Suivi Agents'!S49</f>
        <v>0</v>
      </c>
    </row>
    <row r="8" spans="1:2" x14ac:dyDescent="0.45">
      <c r="A8" s="8" t="s">
        <v>218</v>
      </c>
      <c r="B8" s="39">
        <f>'Suivi Agents'!V49</f>
        <v>0</v>
      </c>
    </row>
    <row r="9" spans="1:2" x14ac:dyDescent="0.45">
      <c r="A9" s="8" t="s">
        <v>219</v>
      </c>
      <c r="B9" s="39">
        <f>'Suivi Équipes'!L16</f>
        <v>0</v>
      </c>
    </row>
    <row r="10" spans="1:2" x14ac:dyDescent="0.45">
      <c r="A10" s="8" t="s">
        <v>220</v>
      </c>
      <c r="B10" s="39">
        <f>'Suivi Équipes'!Q16</f>
        <v>0</v>
      </c>
    </row>
    <row r="11" spans="1:2" x14ac:dyDescent="0.45">
      <c r="A11" s="8" t="s">
        <v>221</v>
      </c>
      <c r="B11" s="39">
        <f>'Suivi Équipes'!S16</f>
        <v>0</v>
      </c>
    </row>
    <row r="12" spans="1:2" x14ac:dyDescent="0.45">
      <c r="A12" s="7" t="s">
        <v>222</v>
      </c>
      <c r="B12" s="40">
        <f>SUM(B5:B11)</f>
        <v>0</v>
      </c>
    </row>
    <row r="13" spans="1:2" x14ac:dyDescent="0.45">
      <c r="A13" s="8" t="s">
        <v>223</v>
      </c>
      <c r="B13" s="39">
        <f>'Suivi Équipes'!V16</f>
        <v>0</v>
      </c>
    </row>
    <row r="14" spans="1:2" x14ac:dyDescent="0.45">
      <c r="A14" s="7" t="s">
        <v>224</v>
      </c>
      <c r="B14" s="41" t="str">
        <f>IF(B13&gt;0,B12/B13,"")</f>
        <v/>
      </c>
    </row>
    <row r="17" spans="1:3" x14ac:dyDescent="0.45">
      <c r="A17" s="7" t="s">
        <v>225</v>
      </c>
    </row>
    <row r="18" spans="1:3" x14ac:dyDescent="0.45">
      <c r="A18" s="8" t="s">
        <v>226</v>
      </c>
      <c r="B18" s="42">
        <v>1</v>
      </c>
    </row>
    <row r="19" spans="1:3" x14ac:dyDescent="0.45">
      <c r="A19" s="8" t="s">
        <v>227</v>
      </c>
      <c r="B19" s="43">
        <f>COUNTIFS('Suivi Agents'!$F$6:$F$48,"&gt;0",'Suivi Agents'!$C$6:$C$48,"Oui")</f>
        <v>41</v>
      </c>
    </row>
    <row r="20" spans="1:3" x14ac:dyDescent="0.45">
      <c r="A20" s="8" t="s">
        <v>228</v>
      </c>
      <c r="B20" s="39">
        <f>IF(B18&gt;=1,B19*Paramètres!$B$9*Paramètres!$C$20,0)</f>
        <v>180400</v>
      </c>
    </row>
    <row r="21" spans="1:3" x14ac:dyDescent="0.45">
      <c r="A21" s="8" t="s">
        <v>216</v>
      </c>
      <c r="B21" s="39">
        <f>Paramètres!$B$9*Paramètres!$C$21</f>
        <v>22000</v>
      </c>
    </row>
    <row r="22" spans="1:3" x14ac:dyDescent="0.45">
      <c r="A22" s="8" t="s">
        <v>217</v>
      </c>
      <c r="B22" s="39">
        <f>B19*INDEX(Paramètres!$C$15:$C$18,MATCH(B18,Paramètres!$B$15:$B$18,1))</f>
        <v>512500</v>
      </c>
    </row>
    <row r="23" spans="1:3" x14ac:dyDescent="0.45">
      <c r="A23" s="8" t="s">
        <v>190</v>
      </c>
      <c r="B23" s="39">
        <f>IF(B18&gt;=1,COUNTIFS('Suivi Agents'!$E$6:$E$48,"&gt;0",'Suivi Agents'!$C$6:$C$48,"Oui")*Paramètres!$C$22,0)</f>
        <v>185000</v>
      </c>
    </row>
    <row r="24" spans="1:3" x14ac:dyDescent="0.45">
      <c r="A24" s="8" t="s">
        <v>219</v>
      </c>
      <c r="B24" s="39">
        <f>IF(B18&gt;=1,10*Paramètres!$B$9*Paramètres!$C$33,0)</f>
        <v>110000</v>
      </c>
    </row>
    <row r="25" spans="1:3" x14ac:dyDescent="0.45">
      <c r="A25" s="8" t="s">
        <v>220</v>
      </c>
      <c r="B25" s="39">
        <f>IF(B18&gt;=Paramètres!$C$31,10*INDEX(Paramètres!$C$26:$C$29,MATCH(B18,Paramètres!$B$26:$B$29,1)),0)</f>
        <v>300000</v>
      </c>
    </row>
    <row r="26" spans="1:3" x14ac:dyDescent="0.45">
      <c r="A26" s="8" t="s">
        <v>221</v>
      </c>
      <c r="B26" s="39">
        <f>IF(B18&gt;=Paramètres!$C$35,Paramètres!$C$34,0)</f>
        <v>50000</v>
      </c>
    </row>
    <row r="27" spans="1:3" x14ac:dyDescent="0.45">
      <c r="A27" s="7" t="s">
        <v>229</v>
      </c>
      <c r="B27" s="40">
        <f>SUM(B20:B26)</f>
        <v>1359900</v>
      </c>
    </row>
    <row r="28" spans="1:3" x14ac:dyDescent="0.45">
      <c r="A28" s="8" t="s">
        <v>230</v>
      </c>
      <c r="B28" s="39">
        <f>B18*SUMPRODUCT(('Suivi Équipes'!C6:C15*Paramètres!$C$38+'Suivi Équipes'!D6:D15*Paramètres!$C$39)*'Suivi Équipes'!U6:U15)</f>
        <v>2782000</v>
      </c>
    </row>
    <row r="29" spans="1:3" x14ac:dyDescent="0.45">
      <c r="A29" s="7" t="s">
        <v>231</v>
      </c>
      <c r="B29" s="41">
        <f>IF(B28&gt;0,B27/B28,"")</f>
        <v>0.48882099209202012</v>
      </c>
    </row>
    <row r="31" spans="1:3" ht="30" customHeight="1" x14ac:dyDescent="0.45">
      <c r="A31" s="1" t="s">
        <v>232</v>
      </c>
      <c r="B31" s="1"/>
      <c r="C31" s="1"/>
    </row>
    <row r="32" spans="1:3" x14ac:dyDescent="0.45">
      <c r="A32" s="1"/>
      <c r="B32" s="1"/>
      <c r="C32" s="1"/>
    </row>
  </sheetData>
  <mergeCells count="1">
    <mergeCell ref="A31:C3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A6A6"/>
  </sheetPr>
  <dimension ref="A1:AH120"/>
  <sheetViews>
    <sheetView zoomScaleNormal="100" workbookViewId="0"/>
  </sheetViews>
  <sheetFormatPr defaultColWidth="8.6640625" defaultRowHeight="14.25" x14ac:dyDescent="0.45"/>
  <cols>
    <col min="1" max="1" width="11" customWidth="1"/>
    <col min="2" max="2" width="24" customWidth="1"/>
    <col min="3" max="3" width="4" customWidth="1"/>
    <col min="4" max="34" width="7" customWidth="1"/>
  </cols>
  <sheetData>
    <row r="1" spans="1:34" ht="17.649999999999999" x14ac:dyDescent="0.5">
      <c r="A1" s="5" t="s">
        <v>233</v>
      </c>
    </row>
    <row r="3" spans="1:34" x14ac:dyDescent="0.45">
      <c r="A3" s="8" t="s">
        <v>32</v>
      </c>
      <c r="D3" s="8">
        <f>Paramètres!B4</f>
        <v>1</v>
      </c>
      <c r="E3" s="8">
        <f>Paramètres!C4</f>
        <v>2</v>
      </c>
      <c r="F3" s="8">
        <f>Paramètres!D4</f>
        <v>3</v>
      </c>
      <c r="G3" s="8">
        <f>Paramètres!E4</f>
        <v>4</v>
      </c>
      <c r="H3" s="8">
        <f>Paramètres!F4</f>
        <v>5</v>
      </c>
      <c r="I3" s="8">
        <f>Paramètres!G4</f>
        <v>6</v>
      </c>
      <c r="J3" s="8">
        <f>Paramètres!H4</f>
        <v>7</v>
      </c>
      <c r="K3" s="8">
        <f>Paramètres!I4</f>
        <v>8</v>
      </c>
      <c r="L3" s="8">
        <f>Paramètres!J4</f>
        <v>9</v>
      </c>
      <c r="M3" s="8">
        <f>Paramètres!K4</f>
        <v>10</v>
      </c>
      <c r="N3" s="8">
        <f>Paramètres!L4</f>
        <v>11</v>
      </c>
      <c r="O3" s="8">
        <f>Paramètres!M4</f>
        <v>12</v>
      </c>
      <c r="P3" s="8">
        <f>Paramètres!N4</f>
        <v>13</v>
      </c>
      <c r="Q3" s="8">
        <f>Paramètres!O4</f>
        <v>14</v>
      </c>
      <c r="R3" s="8">
        <f>Paramètres!P4</f>
        <v>15</v>
      </c>
      <c r="S3" s="8">
        <f>Paramètres!Q4</f>
        <v>16</v>
      </c>
      <c r="T3" s="8">
        <f>Paramètres!R4</f>
        <v>17</v>
      </c>
      <c r="U3" s="8">
        <f>Paramètres!S4</f>
        <v>18</v>
      </c>
      <c r="V3" s="8">
        <f>Paramètres!T4</f>
        <v>19</v>
      </c>
      <c r="W3" s="8">
        <f>Paramètres!U4</f>
        <v>20</v>
      </c>
      <c r="X3" s="8">
        <f>Paramètres!V4</f>
        <v>21</v>
      </c>
      <c r="Y3" s="8">
        <f>Paramètres!W4</f>
        <v>22</v>
      </c>
      <c r="Z3" s="8">
        <f>Paramètres!X4</f>
        <v>23</v>
      </c>
      <c r="AA3" s="8">
        <f>Paramètres!Y4</f>
        <v>24</v>
      </c>
      <c r="AB3" s="8">
        <f>Paramètres!Z4</f>
        <v>25</v>
      </c>
      <c r="AC3" s="8">
        <f>Paramètres!AA4</f>
        <v>26</v>
      </c>
      <c r="AD3" s="8">
        <f>Paramètres!AB4</f>
        <v>27</v>
      </c>
      <c r="AE3" s="8">
        <f>Paramètres!AC4</f>
        <v>28</v>
      </c>
      <c r="AF3" s="8">
        <f>Paramètres!AD4</f>
        <v>29</v>
      </c>
      <c r="AG3" s="8">
        <f>Paramètres!AE4</f>
        <v>30</v>
      </c>
      <c r="AH3" s="8">
        <f>Paramètres!AF4</f>
        <v>31</v>
      </c>
    </row>
    <row r="4" spans="1:34" x14ac:dyDescent="0.45">
      <c r="A4" s="8" t="s">
        <v>234</v>
      </c>
      <c r="D4" s="8">
        <f>Paramètres!B7</f>
        <v>1</v>
      </c>
      <c r="E4" s="8">
        <f>Paramètres!C7</f>
        <v>1</v>
      </c>
      <c r="F4" s="8">
        <f>Paramètres!D7</f>
        <v>0</v>
      </c>
      <c r="G4" s="8">
        <f>Paramètres!E7</f>
        <v>0</v>
      </c>
      <c r="H4" s="8">
        <f>Paramètres!F7</f>
        <v>1</v>
      </c>
      <c r="I4" s="8">
        <f>Paramètres!G7</f>
        <v>1</v>
      </c>
      <c r="J4" s="8">
        <f>Paramètres!H7</f>
        <v>1</v>
      </c>
      <c r="K4" s="8">
        <f>Paramètres!I7</f>
        <v>1</v>
      </c>
      <c r="L4" s="8">
        <f>Paramètres!J7</f>
        <v>1</v>
      </c>
      <c r="M4" s="8">
        <f>Paramètres!K7</f>
        <v>0</v>
      </c>
      <c r="N4" s="8">
        <f>Paramètres!L7</f>
        <v>0</v>
      </c>
      <c r="O4" s="8">
        <f>Paramètres!M7</f>
        <v>1</v>
      </c>
      <c r="P4" s="8">
        <f>Paramètres!N7</f>
        <v>1</v>
      </c>
      <c r="Q4" s="8">
        <f>Paramètres!O7</f>
        <v>1</v>
      </c>
      <c r="R4" s="8">
        <f>Paramètres!P7</f>
        <v>1</v>
      </c>
      <c r="S4" s="8">
        <f>Paramètres!Q7</f>
        <v>1</v>
      </c>
      <c r="T4" s="8">
        <f>Paramètres!R7</f>
        <v>0</v>
      </c>
      <c r="U4" s="8">
        <f>Paramètres!S7</f>
        <v>0</v>
      </c>
      <c r="V4" s="8">
        <f>Paramètres!T7</f>
        <v>1</v>
      </c>
      <c r="W4" s="8">
        <f>Paramètres!U7</f>
        <v>1</v>
      </c>
      <c r="X4" s="8">
        <f>Paramètres!V7</f>
        <v>1</v>
      </c>
      <c r="Y4" s="8">
        <f>Paramètres!W7</f>
        <v>1</v>
      </c>
      <c r="Z4" s="8">
        <f>Paramètres!X7</f>
        <v>1</v>
      </c>
      <c r="AA4" s="8">
        <f>Paramètres!Y7</f>
        <v>0</v>
      </c>
      <c r="AB4" s="8">
        <f>Paramètres!Z7</f>
        <v>0</v>
      </c>
      <c r="AC4" s="8">
        <f>Paramètres!AA7</f>
        <v>1</v>
      </c>
      <c r="AD4" s="8">
        <f>Paramètres!AB7</f>
        <v>1</v>
      </c>
      <c r="AE4" s="8">
        <f>Paramètres!AC7</f>
        <v>1</v>
      </c>
      <c r="AF4" s="8">
        <f>Paramètres!AD7</f>
        <v>1</v>
      </c>
      <c r="AG4" s="8">
        <f>Paramètres!AE7</f>
        <v>1</v>
      </c>
      <c r="AH4" s="8">
        <f>Paramètres!AF7</f>
        <v>0</v>
      </c>
    </row>
    <row r="5" spans="1:34" ht="138.75" x14ac:dyDescent="0.45">
      <c r="A5" s="14" t="s">
        <v>73</v>
      </c>
      <c r="B5" s="14" t="s">
        <v>74</v>
      </c>
      <c r="C5" s="14" t="s">
        <v>235</v>
      </c>
      <c r="D5" s="14" t="s">
        <v>236</v>
      </c>
      <c r="E5" s="14" t="s">
        <v>237</v>
      </c>
      <c r="F5" s="14" t="s">
        <v>238</v>
      </c>
      <c r="G5" s="14" t="s">
        <v>239</v>
      </c>
      <c r="H5" s="14" t="s">
        <v>240</v>
      </c>
      <c r="I5" s="14" t="s">
        <v>241</v>
      </c>
      <c r="J5" s="14" t="s">
        <v>242</v>
      </c>
      <c r="K5" s="14" t="s">
        <v>243</v>
      </c>
      <c r="L5" s="14" t="s">
        <v>244</v>
      </c>
      <c r="M5" s="14" t="s">
        <v>245</v>
      </c>
      <c r="N5" s="14" t="s">
        <v>246</v>
      </c>
      <c r="O5" s="14" t="s">
        <v>247</v>
      </c>
      <c r="P5" s="14" t="s">
        <v>248</v>
      </c>
      <c r="Q5" s="14" t="s">
        <v>249</v>
      </c>
      <c r="R5" s="14" t="s">
        <v>250</v>
      </c>
      <c r="S5" s="14" t="s">
        <v>251</v>
      </c>
      <c r="T5" s="14" t="s">
        <v>252</v>
      </c>
      <c r="U5" s="14" t="s">
        <v>253</v>
      </c>
      <c r="V5" s="14" t="s">
        <v>254</v>
      </c>
      <c r="W5" s="14" t="s">
        <v>255</v>
      </c>
      <c r="X5" s="14" t="s">
        <v>256</v>
      </c>
      <c r="Y5" s="14" t="s">
        <v>257</v>
      </c>
      <c r="Z5" s="14" t="s">
        <v>258</v>
      </c>
      <c r="AA5" s="14" t="s">
        <v>259</v>
      </c>
      <c r="AB5" s="14" t="s">
        <v>260</v>
      </c>
      <c r="AC5" s="14" t="s">
        <v>261</v>
      </c>
      <c r="AD5" s="14" t="s">
        <v>262</v>
      </c>
      <c r="AE5" s="14" t="s">
        <v>263</v>
      </c>
      <c r="AF5" s="14" t="s">
        <v>264</v>
      </c>
      <c r="AG5" s="14" t="s">
        <v>265</v>
      </c>
      <c r="AH5" s="14" t="s">
        <v>266</v>
      </c>
    </row>
    <row r="6" spans="1:34" x14ac:dyDescent="0.45">
      <c r="A6" s="8" t="str">
        <f>'Saisie B2C'!A6</f>
        <v>YANKEE</v>
      </c>
      <c r="B6" s="8" t="str">
        <f>'Saisie B2C'!B6</f>
        <v>pms_rgz_tosee.ftth</v>
      </c>
      <c r="D6" s="8">
        <f>'Saisie B2C'!D6+'Saisie B2B'!D6</f>
        <v>0</v>
      </c>
      <c r="E6" s="8">
        <f>'Saisie B2C'!E6+'Saisie B2B'!E6</f>
        <v>0</v>
      </c>
      <c r="F6" s="8">
        <f>'Saisie B2C'!F6+'Saisie B2B'!F6</f>
        <v>0</v>
      </c>
      <c r="G6" s="8">
        <f>'Saisie B2C'!G6+'Saisie B2B'!G6</f>
        <v>0</v>
      </c>
      <c r="H6" s="8">
        <f>'Saisie B2C'!H6+'Saisie B2B'!H6</f>
        <v>0</v>
      </c>
      <c r="I6" s="8">
        <f>'Saisie B2C'!I6+'Saisie B2B'!I6</f>
        <v>0</v>
      </c>
      <c r="J6" s="8">
        <f>'Saisie B2C'!J6+'Saisie B2B'!J6</f>
        <v>0</v>
      </c>
      <c r="K6" s="8">
        <f>'Saisie B2C'!K6+'Saisie B2B'!K6</f>
        <v>0</v>
      </c>
      <c r="L6" s="8">
        <f>'Saisie B2C'!L6+'Saisie B2B'!L6</f>
        <v>0</v>
      </c>
      <c r="M6" s="8">
        <f>'Saisie B2C'!M6+'Saisie B2B'!M6</f>
        <v>0</v>
      </c>
      <c r="N6" s="8">
        <f>'Saisie B2C'!N6+'Saisie B2B'!N6</f>
        <v>0</v>
      </c>
      <c r="O6" s="8">
        <f>'Saisie B2C'!O6+'Saisie B2B'!O6</f>
        <v>0</v>
      </c>
      <c r="P6" s="8">
        <f>'Saisie B2C'!P6+'Saisie B2B'!P6</f>
        <v>0</v>
      </c>
      <c r="Q6" s="8">
        <f>'Saisie B2C'!Q6+'Saisie B2B'!Q6</f>
        <v>0</v>
      </c>
      <c r="R6" s="8">
        <f>'Saisie B2C'!R6+'Saisie B2B'!R6</f>
        <v>0</v>
      </c>
      <c r="S6" s="8">
        <f>'Saisie B2C'!S6+'Saisie B2B'!S6</f>
        <v>0</v>
      </c>
      <c r="T6" s="8">
        <f>'Saisie B2C'!T6+'Saisie B2B'!T6</f>
        <v>0</v>
      </c>
      <c r="U6" s="8">
        <f>'Saisie B2C'!U6+'Saisie B2B'!U6</f>
        <v>0</v>
      </c>
      <c r="V6" s="8">
        <f>'Saisie B2C'!V6+'Saisie B2B'!V6</f>
        <v>0</v>
      </c>
      <c r="W6" s="8">
        <f>'Saisie B2C'!W6+'Saisie B2B'!W6</f>
        <v>0</v>
      </c>
      <c r="X6" s="8">
        <f>'Saisie B2C'!X6+'Saisie B2B'!X6</f>
        <v>0</v>
      </c>
      <c r="Y6" s="8">
        <f>'Saisie B2C'!Y6+'Saisie B2B'!Y6</f>
        <v>0</v>
      </c>
      <c r="Z6" s="8">
        <f>'Saisie B2C'!Z6+'Saisie B2B'!Z6</f>
        <v>0</v>
      </c>
      <c r="AA6" s="8">
        <f>'Saisie B2C'!AA6+'Saisie B2B'!AA6</f>
        <v>0</v>
      </c>
      <c r="AB6" s="8">
        <f>'Saisie B2C'!AB6+'Saisie B2B'!AB6</f>
        <v>0</v>
      </c>
      <c r="AC6" s="8">
        <f>'Saisie B2C'!AC6+'Saisie B2B'!AC6</f>
        <v>0</v>
      </c>
      <c r="AD6" s="8">
        <f>'Saisie B2C'!AD6+'Saisie B2B'!AD6</f>
        <v>0</v>
      </c>
      <c r="AE6" s="8">
        <f>'Saisie B2C'!AE6+'Saisie B2B'!AE6</f>
        <v>0</v>
      </c>
      <c r="AF6" s="8">
        <f>'Saisie B2C'!AF6+'Saisie B2B'!AF6</f>
        <v>0</v>
      </c>
      <c r="AG6" s="8">
        <f>'Saisie B2C'!AG6+'Saisie B2B'!AG6</f>
        <v>0</v>
      </c>
      <c r="AH6" s="8">
        <f>'Saisie B2C'!AH6+'Saisie B2B'!AH6</f>
        <v>0</v>
      </c>
    </row>
    <row r="7" spans="1:34" x14ac:dyDescent="0.45">
      <c r="A7" s="8" t="str">
        <f>'Saisie B2C'!A7</f>
        <v>YANKEE</v>
      </c>
      <c r="B7" s="8" t="str">
        <f>'Saisie B2C'!B7</f>
        <v>pvt_rgz_mfrancois.ftth</v>
      </c>
      <c r="D7" s="8">
        <f>'Saisie B2C'!D7+'Saisie B2B'!D7</f>
        <v>0</v>
      </c>
      <c r="E7" s="8">
        <f>'Saisie B2C'!E7+'Saisie B2B'!E7</f>
        <v>0</v>
      </c>
      <c r="F7" s="8">
        <f>'Saisie B2C'!F7+'Saisie B2B'!F7</f>
        <v>0</v>
      </c>
      <c r="G7" s="8">
        <f>'Saisie B2C'!G7+'Saisie B2B'!G7</f>
        <v>0</v>
      </c>
      <c r="H7" s="8">
        <f>'Saisie B2C'!H7+'Saisie B2B'!H7</f>
        <v>0</v>
      </c>
      <c r="I7" s="8">
        <f>'Saisie B2C'!I7+'Saisie B2B'!I7</f>
        <v>0</v>
      </c>
      <c r="J7" s="8">
        <f>'Saisie B2C'!J7+'Saisie B2B'!J7</f>
        <v>0</v>
      </c>
      <c r="K7" s="8">
        <f>'Saisie B2C'!K7+'Saisie B2B'!K7</f>
        <v>0</v>
      </c>
      <c r="L7" s="8">
        <f>'Saisie B2C'!L7+'Saisie B2B'!L7</f>
        <v>0</v>
      </c>
      <c r="M7" s="8">
        <f>'Saisie B2C'!M7+'Saisie B2B'!M7</f>
        <v>0</v>
      </c>
      <c r="N7" s="8">
        <f>'Saisie B2C'!N7+'Saisie B2B'!N7</f>
        <v>0</v>
      </c>
      <c r="O7" s="8">
        <f>'Saisie B2C'!O7+'Saisie B2B'!O7</f>
        <v>0</v>
      </c>
      <c r="P7" s="8">
        <f>'Saisie B2C'!P7+'Saisie B2B'!P7</f>
        <v>0</v>
      </c>
      <c r="Q7" s="8">
        <f>'Saisie B2C'!Q7+'Saisie B2B'!Q7</f>
        <v>0</v>
      </c>
      <c r="R7" s="8">
        <f>'Saisie B2C'!R7+'Saisie B2B'!R7</f>
        <v>0</v>
      </c>
      <c r="S7" s="8">
        <f>'Saisie B2C'!S7+'Saisie B2B'!S7</f>
        <v>0</v>
      </c>
      <c r="T7" s="8">
        <f>'Saisie B2C'!T7+'Saisie B2B'!T7</f>
        <v>0</v>
      </c>
      <c r="U7" s="8">
        <f>'Saisie B2C'!U7+'Saisie B2B'!U7</f>
        <v>0</v>
      </c>
      <c r="V7" s="8">
        <f>'Saisie B2C'!V7+'Saisie B2B'!V7</f>
        <v>0</v>
      </c>
      <c r="W7" s="8">
        <f>'Saisie B2C'!W7+'Saisie B2B'!W7</f>
        <v>0</v>
      </c>
      <c r="X7" s="8">
        <f>'Saisie B2C'!X7+'Saisie B2B'!X7</f>
        <v>0</v>
      </c>
      <c r="Y7" s="8">
        <f>'Saisie B2C'!Y7+'Saisie B2B'!Y7</f>
        <v>0</v>
      </c>
      <c r="Z7" s="8">
        <f>'Saisie B2C'!Z7+'Saisie B2B'!Z7</f>
        <v>0</v>
      </c>
      <c r="AA7" s="8">
        <f>'Saisie B2C'!AA7+'Saisie B2B'!AA7</f>
        <v>0</v>
      </c>
      <c r="AB7" s="8">
        <f>'Saisie B2C'!AB7+'Saisie B2B'!AB7</f>
        <v>0</v>
      </c>
      <c r="AC7" s="8">
        <f>'Saisie B2C'!AC7+'Saisie B2B'!AC7</f>
        <v>0</v>
      </c>
      <c r="AD7" s="8">
        <f>'Saisie B2C'!AD7+'Saisie B2B'!AD7</f>
        <v>0</v>
      </c>
      <c r="AE7" s="8">
        <f>'Saisie B2C'!AE7+'Saisie B2B'!AE7</f>
        <v>0</v>
      </c>
      <c r="AF7" s="8">
        <f>'Saisie B2C'!AF7+'Saisie B2B'!AF7</f>
        <v>0</v>
      </c>
      <c r="AG7" s="8">
        <f>'Saisie B2C'!AG7+'Saisie B2B'!AG7</f>
        <v>0</v>
      </c>
      <c r="AH7" s="8">
        <f>'Saisie B2C'!AH7+'Saisie B2B'!AH7</f>
        <v>0</v>
      </c>
    </row>
    <row r="8" spans="1:34" x14ac:dyDescent="0.45">
      <c r="A8" s="8" t="str">
        <f>'Saisie B2C'!A8</f>
        <v>YANKEE</v>
      </c>
      <c r="B8" s="8" t="str">
        <f>'Saisie B2C'!B8</f>
        <v>pvt_rgz_fadji.ftth</v>
      </c>
      <c r="D8" s="8">
        <f>'Saisie B2C'!D8+'Saisie B2B'!D8</f>
        <v>0</v>
      </c>
      <c r="E8" s="8">
        <f>'Saisie B2C'!E8+'Saisie B2B'!E8</f>
        <v>0</v>
      </c>
      <c r="F8" s="8">
        <f>'Saisie B2C'!F8+'Saisie B2B'!F8</f>
        <v>0</v>
      </c>
      <c r="G8" s="8">
        <f>'Saisie B2C'!G8+'Saisie B2B'!G8</f>
        <v>0</v>
      </c>
      <c r="H8" s="8">
        <f>'Saisie B2C'!H8+'Saisie B2B'!H8</f>
        <v>0</v>
      </c>
      <c r="I8" s="8">
        <f>'Saisie B2C'!I8+'Saisie B2B'!I8</f>
        <v>0</v>
      </c>
      <c r="J8" s="8">
        <f>'Saisie B2C'!J8+'Saisie B2B'!J8</f>
        <v>0</v>
      </c>
      <c r="K8" s="8">
        <f>'Saisie B2C'!K8+'Saisie B2B'!K8</f>
        <v>0</v>
      </c>
      <c r="L8" s="8">
        <f>'Saisie B2C'!L8+'Saisie B2B'!L8</f>
        <v>0</v>
      </c>
      <c r="M8" s="8">
        <f>'Saisie B2C'!M8+'Saisie B2B'!M8</f>
        <v>0</v>
      </c>
      <c r="N8" s="8">
        <f>'Saisie B2C'!N8+'Saisie B2B'!N8</f>
        <v>0</v>
      </c>
      <c r="O8" s="8">
        <f>'Saisie B2C'!O8+'Saisie B2B'!O8</f>
        <v>0</v>
      </c>
      <c r="P8" s="8">
        <f>'Saisie B2C'!P8+'Saisie B2B'!P8</f>
        <v>0</v>
      </c>
      <c r="Q8" s="8">
        <f>'Saisie B2C'!Q8+'Saisie B2B'!Q8</f>
        <v>0</v>
      </c>
      <c r="R8" s="8">
        <f>'Saisie B2C'!R8+'Saisie B2B'!R8</f>
        <v>0</v>
      </c>
      <c r="S8" s="8">
        <f>'Saisie B2C'!S8+'Saisie B2B'!S8</f>
        <v>0</v>
      </c>
      <c r="T8" s="8">
        <f>'Saisie B2C'!T8+'Saisie B2B'!T8</f>
        <v>0</v>
      </c>
      <c r="U8" s="8">
        <f>'Saisie B2C'!U8+'Saisie B2B'!U8</f>
        <v>0</v>
      </c>
      <c r="V8" s="8">
        <f>'Saisie B2C'!V8+'Saisie B2B'!V8</f>
        <v>0</v>
      </c>
      <c r="W8" s="8">
        <f>'Saisie B2C'!W8+'Saisie B2B'!W8</f>
        <v>0</v>
      </c>
      <c r="X8" s="8">
        <f>'Saisie B2C'!X8+'Saisie B2B'!X8</f>
        <v>0</v>
      </c>
      <c r="Y8" s="8">
        <f>'Saisie B2C'!Y8+'Saisie B2B'!Y8</f>
        <v>0</v>
      </c>
      <c r="Z8" s="8">
        <f>'Saisie B2C'!Z8+'Saisie B2B'!Z8</f>
        <v>0</v>
      </c>
      <c r="AA8" s="8">
        <f>'Saisie B2C'!AA8+'Saisie B2B'!AA8</f>
        <v>0</v>
      </c>
      <c r="AB8" s="8">
        <f>'Saisie B2C'!AB8+'Saisie B2B'!AB8</f>
        <v>0</v>
      </c>
      <c r="AC8" s="8">
        <f>'Saisie B2C'!AC8+'Saisie B2B'!AC8</f>
        <v>0</v>
      </c>
      <c r="AD8" s="8">
        <f>'Saisie B2C'!AD8+'Saisie B2B'!AD8</f>
        <v>0</v>
      </c>
      <c r="AE8" s="8">
        <f>'Saisie B2C'!AE8+'Saisie B2B'!AE8</f>
        <v>0</v>
      </c>
      <c r="AF8" s="8">
        <f>'Saisie B2C'!AF8+'Saisie B2B'!AF8</f>
        <v>0</v>
      </c>
      <c r="AG8" s="8">
        <f>'Saisie B2C'!AG8+'Saisie B2B'!AG8</f>
        <v>0</v>
      </c>
      <c r="AH8" s="8">
        <f>'Saisie B2C'!AH8+'Saisie B2B'!AH8</f>
        <v>0</v>
      </c>
    </row>
    <row r="9" spans="1:34" x14ac:dyDescent="0.45">
      <c r="A9" s="8" t="str">
        <f>'Saisie B2C'!A9</f>
        <v>YANKEE</v>
      </c>
      <c r="B9" s="8" t="str">
        <f>'Saisie B2C'!B9</f>
        <v>pvt_rgz_dcharmelie.ftth</v>
      </c>
      <c r="D9" s="8">
        <f>'Saisie B2C'!D9+'Saisie B2B'!D9</f>
        <v>0</v>
      </c>
      <c r="E9" s="8">
        <f>'Saisie B2C'!E9+'Saisie B2B'!E9</f>
        <v>0</v>
      </c>
      <c r="F9" s="8">
        <f>'Saisie B2C'!F9+'Saisie B2B'!F9</f>
        <v>0</v>
      </c>
      <c r="G9" s="8">
        <f>'Saisie B2C'!G9+'Saisie B2B'!G9</f>
        <v>0</v>
      </c>
      <c r="H9" s="8">
        <f>'Saisie B2C'!H9+'Saisie B2B'!H9</f>
        <v>0</v>
      </c>
      <c r="I9" s="8">
        <f>'Saisie B2C'!I9+'Saisie B2B'!I9</f>
        <v>0</v>
      </c>
      <c r="J9" s="8">
        <f>'Saisie B2C'!J9+'Saisie B2B'!J9</f>
        <v>0</v>
      </c>
      <c r="K9" s="8">
        <f>'Saisie B2C'!K9+'Saisie B2B'!K9</f>
        <v>0</v>
      </c>
      <c r="L9" s="8">
        <f>'Saisie B2C'!L9+'Saisie B2B'!L9</f>
        <v>0</v>
      </c>
      <c r="M9" s="8">
        <f>'Saisie B2C'!M9+'Saisie B2B'!M9</f>
        <v>0</v>
      </c>
      <c r="N9" s="8">
        <f>'Saisie B2C'!N9+'Saisie B2B'!N9</f>
        <v>0</v>
      </c>
      <c r="O9" s="8">
        <f>'Saisie B2C'!O9+'Saisie B2B'!O9</f>
        <v>0</v>
      </c>
      <c r="P9" s="8">
        <f>'Saisie B2C'!P9+'Saisie B2B'!P9</f>
        <v>0</v>
      </c>
      <c r="Q9" s="8">
        <f>'Saisie B2C'!Q9+'Saisie B2B'!Q9</f>
        <v>0</v>
      </c>
      <c r="R9" s="8">
        <f>'Saisie B2C'!R9+'Saisie B2B'!R9</f>
        <v>0</v>
      </c>
      <c r="S9" s="8">
        <f>'Saisie B2C'!S9+'Saisie B2B'!S9</f>
        <v>0</v>
      </c>
      <c r="T9" s="8">
        <f>'Saisie B2C'!T9+'Saisie B2B'!T9</f>
        <v>0</v>
      </c>
      <c r="U9" s="8">
        <f>'Saisie B2C'!U9+'Saisie B2B'!U9</f>
        <v>0</v>
      </c>
      <c r="V9" s="8">
        <f>'Saisie B2C'!V9+'Saisie B2B'!V9</f>
        <v>0</v>
      </c>
      <c r="W9" s="8">
        <f>'Saisie B2C'!W9+'Saisie B2B'!W9</f>
        <v>0</v>
      </c>
      <c r="X9" s="8">
        <f>'Saisie B2C'!X9+'Saisie B2B'!X9</f>
        <v>0</v>
      </c>
      <c r="Y9" s="8">
        <f>'Saisie B2C'!Y9+'Saisie B2B'!Y9</f>
        <v>0</v>
      </c>
      <c r="Z9" s="8">
        <f>'Saisie B2C'!Z9+'Saisie B2B'!Z9</f>
        <v>0</v>
      </c>
      <c r="AA9" s="8">
        <f>'Saisie B2C'!AA9+'Saisie B2B'!AA9</f>
        <v>0</v>
      </c>
      <c r="AB9" s="8">
        <f>'Saisie B2C'!AB9+'Saisie B2B'!AB9</f>
        <v>0</v>
      </c>
      <c r="AC9" s="8">
        <f>'Saisie B2C'!AC9+'Saisie B2B'!AC9</f>
        <v>0</v>
      </c>
      <c r="AD9" s="8">
        <f>'Saisie B2C'!AD9+'Saisie B2B'!AD9</f>
        <v>0</v>
      </c>
      <c r="AE9" s="8">
        <f>'Saisie B2C'!AE9+'Saisie B2B'!AE9</f>
        <v>0</v>
      </c>
      <c r="AF9" s="8">
        <f>'Saisie B2C'!AF9+'Saisie B2B'!AF9</f>
        <v>0</v>
      </c>
      <c r="AG9" s="8">
        <f>'Saisie B2C'!AG9+'Saisie B2B'!AG9</f>
        <v>0</v>
      </c>
      <c r="AH9" s="8">
        <f>'Saisie B2C'!AH9+'Saisie B2B'!AH9</f>
        <v>0</v>
      </c>
    </row>
    <row r="10" spans="1:34" x14ac:dyDescent="0.45">
      <c r="A10" s="8" t="str">
        <f>'Saisie B2C'!A10</f>
        <v>YANKEE</v>
      </c>
      <c r="B10" s="8" t="str">
        <f>'Saisie B2C'!B10</f>
        <v>pvt_rgz_gkohla.ftth</v>
      </c>
      <c r="D10" s="8">
        <f>'Saisie B2C'!D10+'Saisie B2B'!D10</f>
        <v>0</v>
      </c>
      <c r="E10" s="8">
        <f>'Saisie B2C'!E10+'Saisie B2B'!E10</f>
        <v>0</v>
      </c>
      <c r="F10" s="8">
        <f>'Saisie B2C'!F10+'Saisie B2B'!F10</f>
        <v>0</v>
      </c>
      <c r="G10" s="8">
        <f>'Saisie B2C'!G10+'Saisie B2B'!G10</f>
        <v>0</v>
      </c>
      <c r="H10" s="8">
        <f>'Saisie B2C'!H10+'Saisie B2B'!H10</f>
        <v>0</v>
      </c>
      <c r="I10" s="8">
        <f>'Saisie B2C'!I10+'Saisie B2B'!I10</f>
        <v>0</v>
      </c>
      <c r="J10" s="8">
        <f>'Saisie B2C'!J10+'Saisie B2B'!J10</f>
        <v>0</v>
      </c>
      <c r="K10" s="8">
        <f>'Saisie B2C'!K10+'Saisie B2B'!K10</f>
        <v>0</v>
      </c>
      <c r="L10" s="8">
        <f>'Saisie B2C'!L10+'Saisie B2B'!L10</f>
        <v>0</v>
      </c>
      <c r="M10" s="8">
        <f>'Saisie B2C'!M10+'Saisie B2B'!M10</f>
        <v>0</v>
      </c>
      <c r="N10" s="8">
        <f>'Saisie B2C'!N10+'Saisie B2B'!N10</f>
        <v>0</v>
      </c>
      <c r="O10" s="8">
        <f>'Saisie B2C'!O10+'Saisie B2B'!O10</f>
        <v>0</v>
      </c>
      <c r="P10" s="8">
        <f>'Saisie B2C'!P10+'Saisie B2B'!P10</f>
        <v>0</v>
      </c>
      <c r="Q10" s="8">
        <f>'Saisie B2C'!Q10+'Saisie B2B'!Q10</f>
        <v>0</v>
      </c>
      <c r="R10" s="8">
        <f>'Saisie B2C'!R10+'Saisie B2B'!R10</f>
        <v>0</v>
      </c>
      <c r="S10" s="8">
        <f>'Saisie B2C'!S10+'Saisie B2B'!S10</f>
        <v>0</v>
      </c>
      <c r="T10" s="8">
        <f>'Saisie B2C'!T10+'Saisie B2B'!T10</f>
        <v>0</v>
      </c>
      <c r="U10" s="8">
        <f>'Saisie B2C'!U10+'Saisie B2B'!U10</f>
        <v>0</v>
      </c>
      <c r="V10" s="8">
        <f>'Saisie B2C'!V10+'Saisie B2B'!V10</f>
        <v>0</v>
      </c>
      <c r="W10" s="8">
        <f>'Saisie B2C'!W10+'Saisie B2B'!W10</f>
        <v>0</v>
      </c>
      <c r="X10" s="8">
        <f>'Saisie B2C'!X10+'Saisie B2B'!X10</f>
        <v>0</v>
      </c>
      <c r="Y10" s="8">
        <f>'Saisie B2C'!Y10+'Saisie B2B'!Y10</f>
        <v>0</v>
      </c>
      <c r="Z10" s="8">
        <f>'Saisie B2C'!Z10+'Saisie B2B'!Z10</f>
        <v>0</v>
      </c>
      <c r="AA10" s="8">
        <f>'Saisie B2C'!AA10+'Saisie B2B'!AA10</f>
        <v>0</v>
      </c>
      <c r="AB10" s="8">
        <f>'Saisie B2C'!AB10+'Saisie B2B'!AB10</f>
        <v>0</v>
      </c>
      <c r="AC10" s="8">
        <f>'Saisie B2C'!AC10+'Saisie B2B'!AC10</f>
        <v>0</v>
      </c>
      <c r="AD10" s="8">
        <f>'Saisie B2C'!AD10+'Saisie B2B'!AD10</f>
        <v>0</v>
      </c>
      <c r="AE10" s="8">
        <f>'Saisie B2C'!AE10+'Saisie B2B'!AE10</f>
        <v>0</v>
      </c>
      <c r="AF10" s="8">
        <f>'Saisie B2C'!AF10+'Saisie B2B'!AF10</f>
        <v>0</v>
      </c>
      <c r="AG10" s="8">
        <f>'Saisie B2C'!AG10+'Saisie B2B'!AG10</f>
        <v>0</v>
      </c>
      <c r="AH10" s="8">
        <f>'Saisie B2C'!AH10+'Saisie B2B'!AH10</f>
        <v>0</v>
      </c>
    </row>
    <row r="11" spans="1:34" x14ac:dyDescent="0.45">
      <c r="A11" s="8" t="str">
        <f>'Saisie B2C'!A11</f>
        <v>YANKEE</v>
      </c>
      <c r="B11" s="8" t="str">
        <f>'Saisie B2C'!B11</f>
        <v>pvt_rgz_rclotoe.ftth</v>
      </c>
      <c r="D11" s="8">
        <f>'Saisie B2C'!D11+'Saisie B2B'!D11</f>
        <v>0</v>
      </c>
      <c r="E11" s="8">
        <f>'Saisie B2C'!E11+'Saisie B2B'!E11</f>
        <v>0</v>
      </c>
      <c r="F11" s="8">
        <f>'Saisie B2C'!F11+'Saisie B2B'!F11</f>
        <v>0</v>
      </c>
      <c r="G11" s="8">
        <f>'Saisie B2C'!G11+'Saisie B2B'!G11</f>
        <v>0</v>
      </c>
      <c r="H11" s="8">
        <f>'Saisie B2C'!H11+'Saisie B2B'!H11</f>
        <v>0</v>
      </c>
      <c r="I11" s="8">
        <f>'Saisie B2C'!I11+'Saisie B2B'!I11</f>
        <v>0</v>
      </c>
      <c r="J11" s="8">
        <f>'Saisie B2C'!J11+'Saisie B2B'!J11</f>
        <v>0</v>
      </c>
      <c r="K11" s="8">
        <f>'Saisie B2C'!K11+'Saisie B2B'!K11</f>
        <v>0</v>
      </c>
      <c r="L11" s="8">
        <f>'Saisie B2C'!L11+'Saisie B2B'!L11</f>
        <v>0</v>
      </c>
      <c r="M11" s="8">
        <f>'Saisie B2C'!M11+'Saisie B2B'!M11</f>
        <v>0</v>
      </c>
      <c r="N11" s="8">
        <f>'Saisie B2C'!N11+'Saisie B2B'!N11</f>
        <v>0</v>
      </c>
      <c r="O11" s="8">
        <f>'Saisie B2C'!O11+'Saisie B2B'!O11</f>
        <v>0</v>
      </c>
      <c r="P11" s="8">
        <f>'Saisie B2C'!P11+'Saisie B2B'!P11</f>
        <v>0</v>
      </c>
      <c r="Q11" s="8">
        <f>'Saisie B2C'!Q11+'Saisie B2B'!Q11</f>
        <v>0</v>
      </c>
      <c r="R11" s="8">
        <f>'Saisie B2C'!R11+'Saisie B2B'!R11</f>
        <v>0</v>
      </c>
      <c r="S11" s="8">
        <f>'Saisie B2C'!S11+'Saisie B2B'!S11</f>
        <v>0</v>
      </c>
      <c r="T11" s="8">
        <f>'Saisie B2C'!T11+'Saisie B2B'!T11</f>
        <v>0</v>
      </c>
      <c r="U11" s="8">
        <f>'Saisie B2C'!U11+'Saisie B2B'!U11</f>
        <v>0</v>
      </c>
      <c r="V11" s="8">
        <f>'Saisie B2C'!V11+'Saisie B2B'!V11</f>
        <v>0</v>
      </c>
      <c r="W11" s="8">
        <f>'Saisie B2C'!W11+'Saisie B2B'!W11</f>
        <v>0</v>
      </c>
      <c r="X11" s="8">
        <f>'Saisie B2C'!X11+'Saisie B2B'!X11</f>
        <v>0</v>
      </c>
      <c r="Y11" s="8">
        <f>'Saisie B2C'!Y11+'Saisie B2B'!Y11</f>
        <v>0</v>
      </c>
      <c r="Z11" s="8">
        <f>'Saisie B2C'!Z11+'Saisie B2B'!Z11</f>
        <v>0</v>
      </c>
      <c r="AA11" s="8">
        <f>'Saisie B2C'!AA11+'Saisie B2B'!AA11</f>
        <v>0</v>
      </c>
      <c r="AB11" s="8">
        <f>'Saisie B2C'!AB11+'Saisie B2B'!AB11</f>
        <v>0</v>
      </c>
      <c r="AC11" s="8">
        <f>'Saisie B2C'!AC11+'Saisie B2B'!AC11</f>
        <v>0</v>
      </c>
      <c r="AD11" s="8">
        <f>'Saisie B2C'!AD11+'Saisie B2B'!AD11</f>
        <v>0</v>
      </c>
      <c r="AE11" s="8">
        <f>'Saisie B2C'!AE11+'Saisie B2B'!AE11</f>
        <v>0</v>
      </c>
      <c r="AF11" s="8">
        <f>'Saisie B2C'!AF11+'Saisie B2B'!AF11</f>
        <v>0</v>
      </c>
      <c r="AG11" s="8">
        <f>'Saisie B2C'!AG11+'Saisie B2B'!AG11</f>
        <v>0</v>
      </c>
      <c r="AH11" s="8">
        <f>'Saisie B2C'!AH11+'Saisie B2B'!AH11</f>
        <v>0</v>
      </c>
    </row>
    <row r="12" spans="1:34" x14ac:dyDescent="0.45">
      <c r="A12" s="8" t="str">
        <f>'Saisie B2C'!A12</f>
        <v>YANKEE</v>
      </c>
      <c r="B12" s="8" t="str">
        <f>'Saisie B2C'!B12</f>
        <v>pvt_rgz_aconstant.ftth</v>
      </c>
      <c r="D12" s="8">
        <f>'Saisie B2C'!D12+'Saisie B2B'!D12</f>
        <v>0</v>
      </c>
      <c r="E12" s="8">
        <f>'Saisie B2C'!E12+'Saisie B2B'!E12</f>
        <v>0</v>
      </c>
      <c r="F12" s="8">
        <f>'Saisie B2C'!F12+'Saisie B2B'!F12</f>
        <v>0</v>
      </c>
      <c r="G12" s="8">
        <f>'Saisie B2C'!G12+'Saisie B2B'!G12</f>
        <v>0</v>
      </c>
      <c r="H12" s="8">
        <f>'Saisie B2C'!H12+'Saisie B2B'!H12</f>
        <v>0</v>
      </c>
      <c r="I12" s="8">
        <f>'Saisie B2C'!I12+'Saisie B2B'!I12</f>
        <v>0</v>
      </c>
      <c r="J12" s="8">
        <f>'Saisie B2C'!J12+'Saisie B2B'!J12</f>
        <v>0</v>
      </c>
      <c r="K12" s="8">
        <f>'Saisie B2C'!K12+'Saisie B2B'!K12</f>
        <v>0</v>
      </c>
      <c r="L12" s="8">
        <f>'Saisie B2C'!L12+'Saisie B2B'!L12</f>
        <v>0</v>
      </c>
      <c r="M12" s="8">
        <f>'Saisie B2C'!M12+'Saisie B2B'!M12</f>
        <v>0</v>
      </c>
      <c r="N12" s="8">
        <f>'Saisie B2C'!N12+'Saisie B2B'!N12</f>
        <v>0</v>
      </c>
      <c r="O12" s="8">
        <f>'Saisie B2C'!O12+'Saisie B2B'!O12</f>
        <v>0</v>
      </c>
      <c r="P12" s="8">
        <f>'Saisie B2C'!P12+'Saisie B2B'!P12</f>
        <v>0</v>
      </c>
      <c r="Q12" s="8">
        <f>'Saisie B2C'!Q12+'Saisie B2B'!Q12</f>
        <v>0</v>
      </c>
      <c r="R12" s="8">
        <f>'Saisie B2C'!R12+'Saisie B2B'!R12</f>
        <v>0</v>
      </c>
      <c r="S12" s="8">
        <f>'Saisie B2C'!S12+'Saisie B2B'!S12</f>
        <v>0</v>
      </c>
      <c r="T12" s="8">
        <f>'Saisie B2C'!T12+'Saisie B2B'!T12</f>
        <v>0</v>
      </c>
      <c r="U12" s="8">
        <f>'Saisie B2C'!U12+'Saisie B2B'!U12</f>
        <v>0</v>
      </c>
      <c r="V12" s="8">
        <f>'Saisie B2C'!V12+'Saisie B2B'!V12</f>
        <v>0</v>
      </c>
      <c r="W12" s="8">
        <f>'Saisie B2C'!W12+'Saisie B2B'!W12</f>
        <v>0</v>
      </c>
      <c r="X12" s="8">
        <f>'Saisie B2C'!X12+'Saisie B2B'!X12</f>
        <v>0</v>
      </c>
      <c r="Y12" s="8">
        <f>'Saisie B2C'!Y12+'Saisie B2B'!Y12</f>
        <v>0</v>
      </c>
      <c r="Z12" s="8">
        <f>'Saisie B2C'!Z12+'Saisie B2B'!Z12</f>
        <v>0</v>
      </c>
      <c r="AA12" s="8">
        <f>'Saisie B2C'!AA12+'Saisie B2B'!AA12</f>
        <v>0</v>
      </c>
      <c r="AB12" s="8">
        <f>'Saisie B2C'!AB12+'Saisie B2B'!AB12</f>
        <v>0</v>
      </c>
      <c r="AC12" s="8">
        <f>'Saisie B2C'!AC12+'Saisie B2B'!AC12</f>
        <v>0</v>
      </c>
      <c r="AD12" s="8">
        <f>'Saisie B2C'!AD12+'Saisie B2B'!AD12</f>
        <v>0</v>
      </c>
      <c r="AE12" s="8">
        <f>'Saisie B2C'!AE12+'Saisie B2B'!AE12</f>
        <v>0</v>
      </c>
      <c r="AF12" s="8">
        <f>'Saisie B2C'!AF12+'Saisie B2B'!AF12</f>
        <v>0</v>
      </c>
      <c r="AG12" s="8">
        <f>'Saisie B2C'!AG12+'Saisie B2B'!AG12</f>
        <v>0</v>
      </c>
      <c r="AH12" s="8">
        <f>'Saisie B2C'!AH12+'Saisie B2B'!AH12</f>
        <v>0</v>
      </c>
    </row>
    <row r="13" spans="1:34" x14ac:dyDescent="0.45">
      <c r="A13" s="8" t="str">
        <f>'Saisie B2C'!A13</f>
        <v>YANKEE</v>
      </c>
      <c r="B13" s="8" t="str">
        <f>'Saisie B2C'!B13</f>
        <v>pvt_rgz_cmessinou.ftth</v>
      </c>
      <c r="D13" s="8">
        <f>'Saisie B2C'!D13+'Saisie B2B'!D13</f>
        <v>0</v>
      </c>
      <c r="E13" s="8">
        <f>'Saisie B2C'!E13+'Saisie B2B'!E13</f>
        <v>0</v>
      </c>
      <c r="F13" s="8">
        <f>'Saisie B2C'!F13+'Saisie B2B'!F13</f>
        <v>0</v>
      </c>
      <c r="G13" s="8">
        <f>'Saisie B2C'!G13+'Saisie B2B'!G13</f>
        <v>0</v>
      </c>
      <c r="H13" s="8">
        <f>'Saisie B2C'!H13+'Saisie B2B'!H13</f>
        <v>0</v>
      </c>
      <c r="I13" s="8">
        <f>'Saisie B2C'!I13+'Saisie B2B'!I13</f>
        <v>0</v>
      </c>
      <c r="J13" s="8">
        <f>'Saisie B2C'!J13+'Saisie B2B'!J13</f>
        <v>0</v>
      </c>
      <c r="K13" s="8">
        <f>'Saisie B2C'!K13+'Saisie B2B'!K13</f>
        <v>0</v>
      </c>
      <c r="L13" s="8">
        <f>'Saisie B2C'!L13+'Saisie B2B'!L13</f>
        <v>0</v>
      </c>
      <c r="M13" s="8">
        <f>'Saisie B2C'!M13+'Saisie B2B'!M13</f>
        <v>0</v>
      </c>
      <c r="N13" s="8">
        <f>'Saisie B2C'!N13+'Saisie B2B'!N13</f>
        <v>0</v>
      </c>
      <c r="O13" s="8">
        <f>'Saisie B2C'!O13+'Saisie B2B'!O13</f>
        <v>0</v>
      </c>
      <c r="P13" s="8">
        <f>'Saisie B2C'!P13+'Saisie B2B'!P13</f>
        <v>0</v>
      </c>
      <c r="Q13" s="8">
        <f>'Saisie B2C'!Q13+'Saisie B2B'!Q13</f>
        <v>0</v>
      </c>
      <c r="R13" s="8">
        <f>'Saisie B2C'!R13+'Saisie B2B'!R13</f>
        <v>0</v>
      </c>
      <c r="S13" s="8">
        <f>'Saisie B2C'!S13+'Saisie B2B'!S13</f>
        <v>0</v>
      </c>
      <c r="T13" s="8">
        <f>'Saisie B2C'!T13+'Saisie B2B'!T13</f>
        <v>0</v>
      </c>
      <c r="U13" s="8">
        <f>'Saisie B2C'!U13+'Saisie B2B'!U13</f>
        <v>0</v>
      </c>
      <c r="V13" s="8">
        <f>'Saisie B2C'!V13+'Saisie B2B'!V13</f>
        <v>0</v>
      </c>
      <c r="W13" s="8">
        <f>'Saisie B2C'!W13+'Saisie B2B'!W13</f>
        <v>0</v>
      </c>
      <c r="X13" s="8">
        <f>'Saisie B2C'!X13+'Saisie B2B'!X13</f>
        <v>0</v>
      </c>
      <c r="Y13" s="8">
        <f>'Saisie B2C'!Y13+'Saisie B2B'!Y13</f>
        <v>0</v>
      </c>
      <c r="Z13" s="8">
        <f>'Saisie B2C'!Z13+'Saisie B2B'!Z13</f>
        <v>0</v>
      </c>
      <c r="AA13" s="8">
        <f>'Saisie B2C'!AA13+'Saisie B2B'!AA13</f>
        <v>0</v>
      </c>
      <c r="AB13" s="8">
        <f>'Saisie B2C'!AB13+'Saisie B2B'!AB13</f>
        <v>0</v>
      </c>
      <c r="AC13" s="8">
        <f>'Saisie B2C'!AC13+'Saisie B2B'!AC13</f>
        <v>0</v>
      </c>
      <c r="AD13" s="8">
        <f>'Saisie B2C'!AD13+'Saisie B2B'!AD13</f>
        <v>0</v>
      </c>
      <c r="AE13" s="8">
        <f>'Saisie B2C'!AE13+'Saisie B2B'!AE13</f>
        <v>0</v>
      </c>
      <c r="AF13" s="8">
        <f>'Saisie B2C'!AF13+'Saisie B2B'!AF13</f>
        <v>0</v>
      </c>
      <c r="AG13" s="8">
        <f>'Saisie B2C'!AG13+'Saisie B2B'!AG13</f>
        <v>0</v>
      </c>
      <c r="AH13" s="8">
        <f>'Saisie B2C'!AH13+'Saisie B2B'!AH13</f>
        <v>0</v>
      </c>
    </row>
    <row r="14" spans="1:34" x14ac:dyDescent="0.45">
      <c r="A14" s="8" t="str">
        <f>'Saisie B2C'!A14</f>
        <v>YANKEE</v>
      </c>
      <c r="B14" s="8" t="str">
        <f>'Saisie B2C'!B14</f>
        <v>pvt_rgz_lsenakpon.ftth</v>
      </c>
      <c r="D14" s="8">
        <f>'Saisie B2C'!D14+'Saisie B2B'!D14</f>
        <v>0</v>
      </c>
      <c r="E14" s="8">
        <f>'Saisie B2C'!E14+'Saisie B2B'!E14</f>
        <v>0</v>
      </c>
      <c r="F14" s="8">
        <f>'Saisie B2C'!F14+'Saisie B2B'!F14</f>
        <v>0</v>
      </c>
      <c r="G14" s="8">
        <f>'Saisie B2C'!G14+'Saisie B2B'!G14</f>
        <v>0</v>
      </c>
      <c r="H14" s="8">
        <f>'Saisie B2C'!H14+'Saisie B2B'!H14</f>
        <v>0</v>
      </c>
      <c r="I14" s="8">
        <f>'Saisie B2C'!I14+'Saisie B2B'!I14</f>
        <v>0</v>
      </c>
      <c r="J14" s="8">
        <f>'Saisie B2C'!J14+'Saisie B2B'!J14</f>
        <v>0</v>
      </c>
      <c r="K14" s="8">
        <f>'Saisie B2C'!K14+'Saisie B2B'!K14</f>
        <v>0</v>
      </c>
      <c r="L14" s="8">
        <f>'Saisie B2C'!L14+'Saisie B2B'!L14</f>
        <v>0</v>
      </c>
      <c r="M14" s="8">
        <f>'Saisie B2C'!M14+'Saisie B2B'!M14</f>
        <v>0</v>
      </c>
      <c r="N14" s="8">
        <f>'Saisie B2C'!N14+'Saisie B2B'!N14</f>
        <v>0</v>
      </c>
      <c r="O14" s="8">
        <f>'Saisie B2C'!O14+'Saisie B2B'!O14</f>
        <v>0</v>
      </c>
      <c r="P14" s="8">
        <f>'Saisie B2C'!P14+'Saisie B2B'!P14</f>
        <v>0</v>
      </c>
      <c r="Q14" s="8">
        <f>'Saisie B2C'!Q14+'Saisie B2B'!Q14</f>
        <v>0</v>
      </c>
      <c r="R14" s="8">
        <f>'Saisie B2C'!R14+'Saisie B2B'!R14</f>
        <v>0</v>
      </c>
      <c r="S14" s="8">
        <f>'Saisie B2C'!S14+'Saisie B2B'!S14</f>
        <v>0</v>
      </c>
      <c r="T14" s="8">
        <f>'Saisie B2C'!T14+'Saisie B2B'!T14</f>
        <v>0</v>
      </c>
      <c r="U14" s="8">
        <f>'Saisie B2C'!U14+'Saisie B2B'!U14</f>
        <v>0</v>
      </c>
      <c r="V14" s="8">
        <f>'Saisie B2C'!V14+'Saisie B2B'!V14</f>
        <v>0</v>
      </c>
      <c r="W14" s="8">
        <f>'Saisie B2C'!W14+'Saisie B2B'!W14</f>
        <v>0</v>
      </c>
      <c r="X14" s="8">
        <f>'Saisie B2C'!X14+'Saisie B2B'!X14</f>
        <v>0</v>
      </c>
      <c r="Y14" s="8">
        <f>'Saisie B2C'!Y14+'Saisie B2B'!Y14</f>
        <v>0</v>
      </c>
      <c r="Z14" s="8">
        <f>'Saisie B2C'!Z14+'Saisie B2B'!Z14</f>
        <v>0</v>
      </c>
      <c r="AA14" s="8">
        <f>'Saisie B2C'!AA14+'Saisie B2B'!AA14</f>
        <v>0</v>
      </c>
      <c r="AB14" s="8">
        <f>'Saisie B2C'!AB14+'Saisie B2B'!AB14</f>
        <v>0</v>
      </c>
      <c r="AC14" s="8">
        <f>'Saisie B2C'!AC14+'Saisie B2B'!AC14</f>
        <v>0</v>
      </c>
      <c r="AD14" s="8">
        <f>'Saisie B2C'!AD14+'Saisie B2B'!AD14</f>
        <v>0</v>
      </c>
      <c r="AE14" s="8">
        <f>'Saisie B2C'!AE14+'Saisie B2B'!AE14</f>
        <v>0</v>
      </c>
      <c r="AF14" s="8">
        <f>'Saisie B2C'!AF14+'Saisie B2B'!AF14</f>
        <v>0</v>
      </c>
      <c r="AG14" s="8">
        <f>'Saisie B2C'!AG14+'Saisie B2B'!AG14</f>
        <v>0</v>
      </c>
      <c r="AH14" s="8">
        <f>'Saisie B2C'!AH14+'Saisie B2B'!AH14</f>
        <v>0</v>
      </c>
    </row>
    <row r="15" spans="1:34" x14ac:dyDescent="0.45">
      <c r="A15" s="8" t="str">
        <f>'Saisie B2C'!A15</f>
        <v>YANKEE</v>
      </c>
      <c r="B15" s="8" t="str">
        <f>'Saisie B2C'!B15</f>
        <v>pvt_rgz_tletitia.ftth</v>
      </c>
      <c r="D15" s="8">
        <f>'Saisie B2C'!D15+'Saisie B2B'!D15</f>
        <v>0</v>
      </c>
      <c r="E15" s="8">
        <f>'Saisie B2C'!E15+'Saisie B2B'!E15</f>
        <v>0</v>
      </c>
      <c r="F15" s="8">
        <f>'Saisie B2C'!F15+'Saisie B2B'!F15</f>
        <v>0</v>
      </c>
      <c r="G15" s="8">
        <f>'Saisie B2C'!G15+'Saisie B2B'!G15</f>
        <v>0</v>
      </c>
      <c r="H15" s="8">
        <f>'Saisie B2C'!H15+'Saisie B2B'!H15</f>
        <v>0</v>
      </c>
      <c r="I15" s="8">
        <f>'Saisie B2C'!I15+'Saisie B2B'!I15</f>
        <v>0</v>
      </c>
      <c r="J15" s="8">
        <f>'Saisie B2C'!J15+'Saisie B2B'!J15</f>
        <v>0</v>
      </c>
      <c r="K15" s="8">
        <f>'Saisie B2C'!K15+'Saisie B2B'!K15</f>
        <v>0</v>
      </c>
      <c r="L15" s="8">
        <f>'Saisie B2C'!L15+'Saisie B2B'!L15</f>
        <v>0</v>
      </c>
      <c r="M15" s="8">
        <f>'Saisie B2C'!M15+'Saisie B2B'!M15</f>
        <v>0</v>
      </c>
      <c r="N15" s="8">
        <f>'Saisie B2C'!N15+'Saisie B2B'!N15</f>
        <v>0</v>
      </c>
      <c r="O15" s="8">
        <f>'Saisie B2C'!O15+'Saisie B2B'!O15</f>
        <v>0</v>
      </c>
      <c r="P15" s="8">
        <f>'Saisie B2C'!P15+'Saisie B2B'!P15</f>
        <v>0</v>
      </c>
      <c r="Q15" s="8">
        <f>'Saisie B2C'!Q15+'Saisie B2B'!Q15</f>
        <v>0</v>
      </c>
      <c r="R15" s="8">
        <f>'Saisie B2C'!R15+'Saisie B2B'!R15</f>
        <v>0</v>
      </c>
      <c r="S15" s="8">
        <f>'Saisie B2C'!S15+'Saisie B2B'!S15</f>
        <v>0</v>
      </c>
      <c r="T15" s="8">
        <f>'Saisie B2C'!T15+'Saisie B2B'!T15</f>
        <v>0</v>
      </c>
      <c r="U15" s="8">
        <f>'Saisie B2C'!U15+'Saisie B2B'!U15</f>
        <v>0</v>
      </c>
      <c r="V15" s="8">
        <f>'Saisie B2C'!V15+'Saisie B2B'!V15</f>
        <v>0</v>
      </c>
      <c r="W15" s="8">
        <f>'Saisie B2C'!W15+'Saisie B2B'!W15</f>
        <v>0</v>
      </c>
      <c r="X15" s="8">
        <f>'Saisie B2C'!X15+'Saisie B2B'!X15</f>
        <v>0</v>
      </c>
      <c r="Y15" s="8">
        <f>'Saisie B2C'!Y15+'Saisie B2B'!Y15</f>
        <v>0</v>
      </c>
      <c r="Z15" s="8">
        <f>'Saisie B2C'!Z15+'Saisie B2B'!Z15</f>
        <v>0</v>
      </c>
      <c r="AA15" s="8">
        <f>'Saisie B2C'!AA15+'Saisie B2B'!AA15</f>
        <v>0</v>
      </c>
      <c r="AB15" s="8">
        <f>'Saisie B2C'!AB15+'Saisie B2B'!AB15</f>
        <v>0</v>
      </c>
      <c r="AC15" s="8">
        <f>'Saisie B2C'!AC15+'Saisie B2B'!AC15</f>
        <v>0</v>
      </c>
      <c r="AD15" s="8">
        <f>'Saisie B2C'!AD15+'Saisie B2B'!AD15</f>
        <v>0</v>
      </c>
      <c r="AE15" s="8">
        <f>'Saisie B2C'!AE15+'Saisie B2B'!AE15</f>
        <v>0</v>
      </c>
      <c r="AF15" s="8">
        <f>'Saisie B2C'!AF15+'Saisie B2B'!AF15</f>
        <v>0</v>
      </c>
      <c r="AG15" s="8">
        <f>'Saisie B2C'!AG15+'Saisie B2B'!AG15</f>
        <v>0</v>
      </c>
      <c r="AH15" s="8">
        <f>'Saisie B2C'!AH15+'Saisie B2B'!AH15</f>
        <v>0</v>
      </c>
    </row>
    <row r="16" spans="1:34" x14ac:dyDescent="0.45">
      <c r="A16" s="8" t="str">
        <f>'Saisie B2C'!A16</f>
        <v>YANKEE</v>
      </c>
      <c r="B16" s="8" t="str">
        <f>'Saisie B2C'!B16</f>
        <v>pvt_rgz_dalexis.ftth</v>
      </c>
      <c r="D16" s="8">
        <f>'Saisie B2C'!D16+'Saisie B2B'!D16</f>
        <v>0</v>
      </c>
      <c r="E16" s="8">
        <f>'Saisie B2C'!E16+'Saisie B2B'!E16</f>
        <v>0</v>
      </c>
      <c r="F16" s="8">
        <f>'Saisie B2C'!F16+'Saisie B2B'!F16</f>
        <v>0</v>
      </c>
      <c r="G16" s="8">
        <f>'Saisie B2C'!G16+'Saisie B2B'!G16</f>
        <v>0</v>
      </c>
      <c r="H16" s="8">
        <f>'Saisie B2C'!H16+'Saisie B2B'!H16</f>
        <v>0</v>
      </c>
      <c r="I16" s="8">
        <f>'Saisie B2C'!I16+'Saisie B2B'!I16</f>
        <v>0</v>
      </c>
      <c r="J16" s="8">
        <f>'Saisie B2C'!J16+'Saisie B2B'!J16</f>
        <v>0</v>
      </c>
      <c r="K16" s="8">
        <f>'Saisie B2C'!K16+'Saisie B2B'!K16</f>
        <v>0</v>
      </c>
      <c r="L16" s="8">
        <f>'Saisie B2C'!L16+'Saisie B2B'!L16</f>
        <v>0</v>
      </c>
      <c r="M16" s="8">
        <f>'Saisie B2C'!M16+'Saisie B2B'!M16</f>
        <v>0</v>
      </c>
      <c r="N16" s="8">
        <f>'Saisie B2C'!N16+'Saisie B2B'!N16</f>
        <v>0</v>
      </c>
      <c r="O16" s="8">
        <f>'Saisie B2C'!O16+'Saisie B2B'!O16</f>
        <v>0</v>
      </c>
      <c r="P16" s="8">
        <f>'Saisie B2C'!P16+'Saisie B2B'!P16</f>
        <v>0</v>
      </c>
      <c r="Q16" s="8">
        <f>'Saisie B2C'!Q16+'Saisie B2B'!Q16</f>
        <v>0</v>
      </c>
      <c r="R16" s="8">
        <f>'Saisie B2C'!R16+'Saisie B2B'!R16</f>
        <v>0</v>
      </c>
      <c r="S16" s="8">
        <f>'Saisie B2C'!S16+'Saisie B2B'!S16</f>
        <v>0</v>
      </c>
      <c r="T16" s="8">
        <f>'Saisie B2C'!T16+'Saisie B2B'!T16</f>
        <v>0</v>
      </c>
      <c r="U16" s="8">
        <f>'Saisie B2C'!U16+'Saisie B2B'!U16</f>
        <v>0</v>
      </c>
      <c r="V16" s="8">
        <f>'Saisie B2C'!V16+'Saisie B2B'!V16</f>
        <v>0</v>
      </c>
      <c r="W16" s="8">
        <f>'Saisie B2C'!W16+'Saisie B2B'!W16</f>
        <v>0</v>
      </c>
      <c r="X16" s="8">
        <f>'Saisie B2C'!X16+'Saisie B2B'!X16</f>
        <v>0</v>
      </c>
      <c r="Y16" s="8">
        <f>'Saisie B2C'!Y16+'Saisie B2B'!Y16</f>
        <v>0</v>
      </c>
      <c r="Z16" s="8">
        <f>'Saisie B2C'!Z16+'Saisie B2B'!Z16</f>
        <v>0</v>
      </c>
      <c r="AA16" s="8">
        <f>'Saisie B2C'!AA16+'Saisie B2B'!AA16</f>
        <v>0</v>
      </c>
      <c r="AB16" s="8">
        <f>'Saisie B2C'!AB16+'Saisie B2B'!AB16</f>
        <v>0</v>
      </c>
      <c r="AC16" s="8">
        <f>'Saisie B2C'!AC16+'Saisie B2B'!AC16</f>
        <v>0</v>
      </c>
      <c r="AD16" s="8">
        <f>'Saisie B2C'!AD16+'Saisie B2B'!AD16</f>
        <v>0</v>
      </c>
      <c r="AE16" s="8">
        <f>'Saisie B2C'!AE16+'Saisie B2B'!AE16</f>
        <v>0</v>
      </c>
      <c r="AF16" s="8">
        <f>'Saisie B2C'!AF16+'Saisie B2B'!AF16</f>
        <v>0</v>
      </c>
      <c r="AG16" s="8">
        <f>'Saisie B2C'!AG16+'Saisie B2B'!AG16</f>
        <v>0</v>
      </c>
      <c r="AH16" s="8">
        <f>'Saisie B2C'!AH16+'Saisie B2B'!AH16</f>
        <v>0</v>
      </c>
    </row>
    <row r="17" spans="1:34" x14ac:dyDescent="0.45">
      <c r="A17" s="8" t="str">
        <f>'Saisie B2C'!A17</f>
        <v>YANKEE</v>
      </c>
      <c r="B17" s="8" t="str">
        <f>'Saisie B2C'!B17</f>
        <v>pvt_rgz_eulisse.ftth</v>
      </c>
      <c r="D17" s="8">
        <f>'Saisie B2C'!D17+'Saisie B2B'!D17</f>
        <v>0</v>
      </c>
      <c r="E17" s="8">
        <f>'Saisie B2C'!E17+'Saisie B2B'!E17</f>
        <v>0</v>
      </c>
      <c r="F17" s="8">
        <f>'Saisie B2C'!F17+'Saisie B2B'!F17</f>
        <v>0</v>
      </c>
      <c r="G17" s="8">
        <f>'Saisie B2C'!G17+'Saisie B2B'!G17</f>
        <v>0</v>
      </c>
      <c r="H17" s="8">
        <f>'Saisie B2C'!H17+'Saisie B2B'!H17</f>
        <v>0</v>
      </c>
      <c r="I17" s="8">
        <f>'Saisie B2C'!I17+'Saisie B2B'!I17</f>
        <v>0</v>
      </c>
      <c r="J17" s="8">
        <f>'Saisie B2C'!J17+'Saisie B2B'!J17</f>
        <v>0</v>
      </c>
      <c r="K17" s="8">
        <f>'Saisie B2C'!K17+'Saisie B2B'!K17</f>
        <v>0</v>
      </c>
      <c r="L17" s="8">
        <f>'Saisie B2C'!L17+'Saisie B2B'!L17</f>
        <v>0</v>
      </c>
      <c r="M17" s="8">
        <f>'Saisie B2C'!M17+'Saisie B2B'!M17</f>
        <v>0</v>
      </c>
      <c r="N17" s="8">
        <f>'Saisie B2C'!N17+'Saisie B2B'!N17</f>
        <v>0</v>
      </c>
      <c r="O17" s="8">
        <f>'Saisie B2C'!O17+'Saisie B2B'!O17</f>
        <v>0</v>
      </c>
      <c r="P17" s="8">
        <f>'Saisie B2C'!P17+'Saisie B2B'!P17</f>
        <v>0</v>
      </c>
      <c r="Q17" s="8">
        <f>'Saisie B2C'!Q17+'Saisie B2B'!Q17</f>
        <v>0</v>
      </c>
      <c r="R17" s="8">
        <f>'Saisie B2C'!R17+'Saisie B2B'!R17</f>
        <v>0</v>
      </c>
      <c r="S17" s="8">
        <f>'Saisie B2C'!S17+'Saisie B2B'!S17</f>
        <v>0</v>
      </c>
      <c r="T17" s="8">
        <f>'Saisie B2C'!T17+'Saisie B2B'!T17</f>
        <v>0</v>
      </c>
      <c r="U17" s="8">
        <f>'Saisie B2C'!U17+'Saisie B2B'!U17</f>
        <v>0</v>
      </c>
      <c r="V17" s="8">
        <f>'Saisie B2C'!V17+'Saisie B2B'!V17</f>
        <v>0</v>
      </c>
      <c r="W17" s="8">
        <f>'Saisie B2C'!W17+'Saisie B2B'!W17</f>
        <v>0</v>
      </c>
      <c r="X17" s="8">
        <f>'Saisie B2C'!X17+'Saisie B2B'!X17</f>
        <v>0</v>
      </c>
      <c r="Y17" s="8">
        <f>'Saisie B2C'!Y17+'Saisie B2B'!Y17</f>
        <v>0</v>
      </c>
      <c r="Z17" s="8">
        <f>'Saisie B2C'!Z17+'Saisie B2B'!Z17</f>
        <v>0</v>
      </c>
      <c r="AA17" s="8">
        <f>'Saisie B2C'!AA17+'Saisie B2B'!AA17</f>
        <v>0</v>
      </c>
      <c r="AB17" s="8">
        <f>'Saisie B2C'!AB17+'Saisie B2B'!AB17</f>
        <v>0</v>
      </c>
      <c r="AC17" s="8">
        <f>'Saisie B2C'!AC17+'Saisie B2B'!AC17</f>
        <v>0</v>
      </c>
      <c r="AD17" s="8">
        <f>'Saisie B2C'!AD17+'Saisie B2B'!AD17</f>
        <v>0</v>
      </c>
      <c r="AE17" s="8">
        <f>'Saisie B2C'!AE17+'Saisie B2B'!AE17</f>
        <v>0</v>
      </c>
      <c r="AF17" s="8">
        <f>'Saisie B2C'!AF17+'Saisie B2B'!AF17</f>
        <v>0</v>
      </c>
      <c r="AG17" s="8">
        <f>'Saisie B2C'!AG17+'Saisie B2B'!AG17</f>
        <v>0</v>
      </c>
      <c r="AH17" s="8">
        <f>'Saisie B2C'!AH17+'Saisie B2B'!AH17</f>
        <v>0</v>
      </c>
    </row>
    <row r="18" spans="1:34" x14ac:dyDescent="0.45">
      <c r="A18" s="8" t="str">
        <f>'Saisie B2C'!A18</f>
        <v>YANKEE</v>
      </c>
      <c r="B18" s="8" t="str">
        <f>'Saisie B2C'!B18</f>
        <v>pvt_rgz_hgilles.ftth</v>
      </c>
      <c r="D18" s="8">
        <f>'Saisie B2C'!D18+'Saisie B2B'!D18</f>
        <v>0</v>
      </c>
      <c r="E18" s="8">
        <f>'Saisie B2C'!E18+'Saisie B2B'!E18</f>
        <v>0</v>
      </c>
      <c r="F18" s="8">
        <f>'Saisie B2C'!F18+'Saisie B2B'!F18</f>
        <v>0</v>
      </c>
      <c r="G18" s="8">
        <f>'Saisie B2C'!G18+'Saisie B2B'!G18</f>
        <v>0</v>
      </c>
      <c r="H18" s="8">
        <f>'Saisie B2C'!H18+'Saisie B2B'!H18</f>
        <v>0</v>
      </c>
      <c r="I18" s="8">
        <f>'Saisie B2C'!I18+'Saisie B2B'!I18</f>
        <v>0</v>
      </c>
      <c r="J18" s="8">
        <f>'Saisie B2C'!J18+'Saisie B2B'!J18</f>
        <v>0</v>
      </c>
      <c r="K18" s="8">
        <f>'Saisie B2C'!K18+'Saisie B2B'!K18</f>
        <v>0</v>
      </c>
      <c r="L18" s="8">
        <f>'Saisie B2C'!L18+'Saisie B2B'!L18</f>
        <v>0</v>
      </c>
      <c r="M18" s="8">
        <f>'Saisie B2C'!M18+'Saisie B2B'!M18</f>
        <v>0</v>
      </c>
      <c r="N18" s="8">
        <f>'Saisie B2C'!N18+'Saisie B2B'!N18</f>
        <v>0</v>
      </c>
      <c r="O18" s="8">
        <f>'Saisie B2C'!O18+'Saisie B2B'!O18</f>
        <v>0</v>
      </c>
      <c r="P18" s="8">
        <f>'Saisie B2C'!P18+'Saisie B2B'!P18</f>
        <v>0</v>
      </c>
      <c r="Q18" s="8">
        <f>'Saisie B2C'!Q18+'Saisie B2B'!Q18</f>
        <v>0</v>
      </c>
      <c r="R18" s="8">
        <f>'Saisie B2C'!R18+'Saisie B2B'!R18</f>
        <v>0</v>
      </c>
      <c r="S18" s="8">
        <f>'Saisie B2C'!S18+'Saisie B2B'!S18</f>
        <v>0</v>
      </c>
      <c r="T18" s="8">
        <f>'Saisie B2C'!T18+'Saisie B2B'!T18</f>
        <v>0</v>
      </c>
      <c r="U18" s="8">
        <f>'Saisie B2C'!U18+'Saisie B2B'!U18</f>
        <v>0</v>
      </c>
      <c r="V18" s="8">
        <f>'Saisie B2C'!V18+'Saisie B2B'!V18</f>
        <v>0</v>
      </c>
      <c r="W18" s="8">
        <f>'Saisie B2C'!W18+'Saisie B2B'!W18</f>
        <v>0</v>
      </c>
      <c r="X18" s="8">
        <f>'Saisie B2C'!X18+'Saisie B2B'!X18</f>
        <v>0</v>
      </c>
      <c r="Y18" s="8">
        <f>'Saisie B2C'!Y18+'Saisie B2B'!Y18</f>
        <v>0</v>
      </c>
      <c r="Z18" s="8">
        <f>'Saisie B2C'!Z18+'Saisie B2B'!Z18</f>
        <v>0</v>
      </c>
      <c r="AA18" s="8">
        <f>'Saisie B2C'!AA18+'Saisie B2B'!AA18</f>
        <v>0</v>
      </c>
      <c r="AB18" s="8">
        <f>'Saisie B2C'!AB18+'Saisie B2B'!AB18</f>
        <v>0</v>
      </c>
      <c r="AC18" s="8">
        <f>'Saisie B2C'!AC18+'Saisie B2B'!AC18</f>
        <v>0</v>
      </c>
      <c r="AD18" s="8">
        <f>'Saisie B2C'!AD18+'Saisie B2B'!AD18</f>
        <v>0</v>
      </c>
      <c r="AE18" s="8">
        <f>'Saisie B2C'!AE18+'Saisie B2B'!AE18</f>
        <v>0</v>
      </c>
      <c r="AF18" s="8">
        <f>'Saisie B2C'!AF18+'Saisie B2B'!AF18</f>
        <v>0</v>
      </c>
      <c r="AG18" s="8">
        <f>'Saisie B2C'!AG18+'Saisie B2B'!AG18</f>
        <v>0</v>
      </c>
      <c r="AH18" s="8">
        <f>'Saisie B2C'!AH18+'Saisie B2B'!AH18</f>
        <v>0</v>
      </c>
    </row>
    <row r="19" spans="1:34" x14ac:dyDescent="0.45">
      <c r="A19" s="8" t="str">
        <f>'Saisie B2C'!A19</f>
        <v>ALPHA</v>
      </c>
      <c r="B19" s="8" t="str">
        <f>'Saisie B2C'!B19</f>
        <v>pms_rgz_tgloria.ftth</v>
      </c>
      <c r="D19" s="8">
        <f>'Saisie B2C'!D19+'Saisie B2B'!D19</f>
        <v>0</v>
      </c>
      <c r="E19" s="8">
        <f>'Saisie B2C'!E19+'Saisie B2B'!E19</f>
        <v>0</v>
      </c>
      <c r="F19" s="8">
        <f>'Saisie B2C'!F19+'Saisie B2B'!F19</f>
        <v>0</v>
      </c>
      <c r="G19" s="8">
        <f>'Saisie B2C'!G19+'Saisie B2B'!G19</f>
        <v>0</v>
      </c>
      <c r="H19" s="8">
        <f>'Saisie B2C'!H19+'Saisie B2B'!H19</f>
        <v>0</v>
      </c>
      <c r="I19" s="8">
        <f>'Saisie B2C'!I19+'Saisie B2B'!I19</f>
        <v>0</v>
      </c>
      <c r="J19" s="8">
        <f>'Saisie B2C'!J19+'Saisie B2B'!J19</f>
        <v>0</v>
      </c>
      <c r="K19" s="8">
        <f>'Saisie B2C'!K19+'Saisie B2B'!K19</f>
        <v>0</v>
      </c>
      <c r="L19" s="8">
        <f>'Saisie B2C'!L19+'Saisie B2B'!L19</f>
        <v>0</v>
      </c>
      <c r="M19" s="8">
        <f>'Saisie B2C'!M19+'Saisie B2B'!M19</f>
        <v>0</v>
      </c>
      <c r="N19" s="8">
        <f>'Saisie B2C'!N19+'Saisie B2B'!N19</f>
        <v>0</v>
      </c>
      <c r="O19" s="8">
        <f>'Saisie B2C'!O19+'Saisie B2B'!O19</f>
        <v>0</v>
      </c>
      <c r="P19" s="8">
        <f>'Saisie B2C'!P19+'Saisie B2B'!P19</f>
        <v>0</v>
      </c>
      <c r="Q19" s="8">
        <f>'Saisie B2C'!Q19+'Saisie B2B'!Q19</f>
        <v>0</v>
      </c>
      <c r="R19" s="8">
        <f>'Saisie B2C'!R19+'Saisie B2B'!R19</f>
        <v>0</v>
      </c>
      <c r="S19" s="8">
        <f>'Saisie B2C'!S19+'Saisie B2B'!S19</f>
        <v>0</v>
      </c>
      <c r="T19" s="8">
        <f>'Saisie B2C'!T19+'Saisie B2B'!T19</f>
        <v>0</v>
      </c>
      <c r="U19" s="8">
        <f>'Saisie B2C'!U19+'Saisie B2B'!U19</f>
        <v>0</v>
      </c>
      <c r="V19" s="8">
        <f>'Saisie B2C'!V19+'Saisie B2B'!V19</f>
        <v>0</v>
      </c>
      <c r="W19" s="8">
        <f>'Saisie B2C'!W19+'Saisie B2B'!W19</f>
        <v>0</v>
      </c>
      <c r="X19" s="8">
        <f>'Saisie B2C'!X19+'Saisie B2B'!X19</f>
        <v>0</v>
      </c>
      <c r="Y19" s="8">
        <f>'Saisie B2C'!Y19+'Saisie B2B'!Y19</f>
        <v>0</v>
      </c>
      <c r="Z19" s="8">
        <f>'Saisie B2C'!Z19+'Saisie B2B'!Z19</f>
        <v>0</v>
      </c>
      <c r="AA19" s="8">
        <f>'Saisie B2C'!AA19+'Saisie B2B'!AA19</f>
        <v>0</v>
      </c>
      <c r="AB19" s="8">
        <f>'Saisie B2C'!AB19+'Saisie B2B'!AB19</f>
        <v>0</v>
      </c>
      <c r="AC19" s="8">
        <f>'Saisie B2C'!AC19+'Saisie B2B'!AC19</f>
        <v>0</v>
      </c>
      <c r="AD19" s="8">
        <f>'Saisie B2C'!AD19+'Saisie B2B'!AD19</f>
        <v>0</v>
      </c>
      <c r="AE19" s="8">
        <f>'Saisie B2C'!AE19+'Saisie B2B'!AE19</f>
        <v>0</v>
      </c>
      <c r="AF19" s="8">
        <f>'Saisie B2C'!AF19+'Saisie B2B'!AF19</f>
        <v>0</v>
      </c>
      <c r="AG19" s="8">
        <f>'Saisie B2C'!AG19+'Saisie B2B'!AG19</f>
        <v>0</v>
      </c>
      <c r="AH19" s="8">
        <f>'Saisie B2C'!AH19+'Saisie B2B'!AH19</f>
        <v>0</v>
      </c>
    </row>
    <row r="20" spans="1:34" x14ac:dyDescent="0.45">
      <c r="A20" s="8" t="str">
        <f>'Saisie B2C'!A20</f>
        <v>ALPHA</v>
      </c>
      <c r="B20" s="8" t="str">
        <f>'Saisie B2C'!B20</f>
        <v>pms_rgz_dconstant.ftth</v>
      </c>
      <c r="D20" s="8">
        <f>'Saisie B2C'!D20+'Saisie B2B'!D20</f>
        <v>0</v>
      </c>
      <c r="E20" s="8">
        <f>'Saisie B2C'!E20+'Saisie B2B'!E20</f>
        <v>0</v>
      </c>
      <c r="F20" s="8">
        <f>'Saisie B2C'!F20+'Saisie B2B'!F20</f>
        <v>0</v>
      </c>
      <c r="G20" s="8">
        <f>'Saisie B2C'!G20+'Saisie B2B'!G20</f>
        <v>0</v>
      </c>
      <c r="H20" s="8">
        <f>'Saisie B2C'!H20+'Saisie B2B'!H20</f>
        <v>0</v>
      </c>
      <c r="I20" s="8">
        <f>'Saisie B2C'!I20+'Saisie B2B'!I20</f>
        <v>0</v>
      </c>
      <c r="J20" s="8">
        <f>'Saisie B2C'!J20+'Saisie B2B'!J20</f>
        <v>0</v>
      </c>
      <c r="K20" s="8">
        <f>'Saisie B2C'!K20+'Saisie B2B'!K20</f>
        <v>0</v>
      </c>
      <c r="L20" s="8">
        <f>'Saisie B2C'!L20+'Saisie B2B'!L20</f>
        <v>0</v>
      </c>
      <c r="M20" s="8">
        <f>'Saisie B2C'!M20+'Saisie B2B'!M20</f>
        <v>0</v>
      </c>
      <c r="N20" s="8">
        <f>'Saisie B2C'!N20+'Saisie B2B'!N20</f>
        <v>0</v>
      </c>
      <c r="O20" s="8">
        <f>'Saisie B2C'!O20+'Saisie B2B'!O20</f>
        <v>0</v>
      </c>
      <c r="P20" s="8">
        <f>'Saisie B2C'!P20+'Saisie B2B'!P20</f>
        <v>0</v>
      </c>
      <c r="Q20" s="8">
        <f>'Saisie B2C'!Q20+'Saisie B2B'!Q20</f>
        <v>0</v>
      </c>
      <c r="R20" s="8">
        <f>'Saisie B2C'!R20+'Saisie B2B'!R20</f>
        <v>0</v>
      </c>
      <c r="S20" s="8">
        <f>'Saisie B2C'!S20+'Saisie B2B'!S20</f>
        <v>0</v>
      </c>
      <c r="T20" s="8">
        <f>'Saisie B2C'!T20+'Saisie B2B'!T20</f>
        <v>0</v>
      </c>
      <c r="U20" s="8">
        <f>'Saisie B2C'!U20+'Saisie B2B'!U20</f>
        <v>0</v>
      </c>
      <c r="V20" s="8">
        <f>'Saisie B2C'!V20+'Saisie B2B'!V20</f>
        <v>0</v>
      </c>
      <c r="W20" s="8">
        <f>'Saisie B2C'!W20+'Saisie B2B'!W20</f>
        <v>0</v>
      </c>
      <c r="X20" s="8">
        <f>'Saisie B2C'!X20+'Saisie B2B'!X20</f>
        <v>0</v>
      </c>
      <c r="Y20" s="8">
        <f>'Saisie B2C'!Y20+'Saisie B2B'!Y20</f>
        <v>0</v>
      </c>
      <c r="Z20" s="8">
        <f>'Saisie B2C'!Z20+'Saisie B2B'!Z20</f>
        <v>0</v>
      </c>
      <c r="AA20" s="8">
        <f>'Saisie B2C'!AA20+'Saisie B2B'!AA20</f>
        <v>0</v>
      </c>
      <c r="AB20" s="8">
        <f>'Saisie B2C'!AB20+'Saisie B2B'!AB20</f>
        <v>0</v>
      </c>
      <c r="AC20" s="8">
        <f>'Saisie B2C'!AC20+'Saisie B2B'!AC20</f>
        <v>0</v>
      </c>
      <c r="AD20" s="8">
        <f>'Saisie B2C'!AD20+'Saisie B2B'!AD20</f>
        <v>0</v>
      </c>
      <c r="AE20" s="8">
        <f>'Saisie B2C'!AE20+'Saisie B2B'!AE20</f>
        <v>0</v>
      </c>
      <c r="AF20" s="8">
        <f>'Saisie B2C'!AF20+'Saisie B2B'!AF20</f>
        <v>0</v>
      </c>
      <c r="AG20" s="8">
        <f>'Saisie B2C'!AG20+'Saisie B2B'!AG20</f>
        <v>0</v>
      </c>
      <c r="AH20" s="8">
        <f>'Saisie B2C'!AH20+'Saisie B2B'!AH20</f>
        <v>0</v>
      </c>
    </row>
    <row r="21" spans="1:34" x14ac:dyDescent="0.45">
      <c r="A21" s="8" t="str">
        <f>'Saisie B2C'!A21</f>
        <v>ALPHA</v>
      </c>
      <c r="B21" s="8" t="str">
        <f>'Saisie B2C'!B21</f>
        <v>pvt_rgz_bboris.ftth</v>
      </c>
      <c r="D21" s="8">
        <f>'Saisie B2C'!D21+'Saisie B2B'!D21</f>
        <v>0</v>
      </c>
      <c r="E21" s="8">
        <f>'Saisie B2C'!E21+'Saisie B2B'!E21</f>
        <v>0</v>
      </c>
      <c r="F21" s="8">
        <f>'Saisie B2C'!F21+'Saisie B2B'!F21</f>
        <v>0</v>
      </c>
      <c r="G21" s="8">
        <f>'Saisie B2C'!G21+'Saisie B2B'!G21</f>
        <v>0</v>
      </c>
      <c r="H21" s="8">
        <f>'Saisie B2C'!H21+'Saisie B2B'!H21</f>
        <v>0</v>
      </c>
      <c r="I21" s="8">
        <f>'Saisie B2C'!I21+'Saisie B2B'!I21</f>
        <v>0</v>
      </c>
      <c r="J21" s="8">
        <f>'Saisie B2C'!J21+'Saisie B2B'!J21</f>
        <v>0</v>
      </c>
      <c r="K21" s="8">
        <f>'Saisie B2C'!K21+'Saisie B2B'!K21</f>
        <v>0</v>
      </c>
      <c r="L21" s="8">
        <f>'Saisie B2C'!L21+'Saisie B2B'!L21</f>
        <v>0</v>
      </c>
      <c r="M21" s="8">
        <f>'Saisie B2C'!M21+'Saisie B2B'!M21</f>
        <v>0</v>
      </c>
      <c r="N21" s="8">
        <f>'Saisie B2C'!N21+'Saisie B2B'!N21</f>
        <v>0</v>
      </c>
      <c r="O21" s="8">
        <f>'Saisie B2C'!O21+'Saisie B2B'!O21</f>
        <v>0</v>
      </c>
      <c r="P21" s="8">
        <f>'Saisie B2C'!P21+'Saisie B2B'!P21</f>
        <v>0</v>
      </c>
      <c r="Q21" s="8">
        <f>'Saisie B2C'!Q21+'Saisie B2B'!Q21</f>
        <v>0</v>
      </c>
      <c r="R21" s="8">
        <f>'Saisie B2C'!R21+'Saisie B2B'!R21</f>
        <v>0</v>
      </c>
      <c r="S21" s="8">
        <f>'Saisie B2C'!S21+'Saisie B2B'!S21</f>
        <v>0</v>
      </c>
      <c r="T21" s="8">
        <f>'Saisie B2C'!T21+'Saisie B2B'!T21</f>
        <v>0</v>
      </c>
      <c r="U21" s="8">
        <f>'Saisie B2C'!U21+'Saisie B2B'!U21</f>
        <v>0</v>
      </c>
      <c r="V21" s="8">
        <f>'Saisie B2C'!V21+'Saisie B2B'!V21</f>
        <v>0</v>
      </c>
      <c r="W21" s="8">
        <f>'Saisie B2C'!W21+'Saisie B2B'!W21</f>
        <v>0</v>
      </c>
      <c r="X21" s="8">
        <f>'Saisie B2C'!X21+'Saisie B2B'!X21</f>
        <v>0</v>
      </c>
      <c r="Y21" s="8">
        <f>'Saisie B2C'!Y21+'Saisie B2B'!Y21</f>
        <v>0</v>
      </c>
      <c r="Z21" s="8">
        <f>'Saisie B2C'!Z21+'Saisie B2B'!Z21</f>
        <v>0</v>
      </c>
      <c r="AA21" s="8">
        <f>'Saisie B2C'!AA21+'Saisie B2B'!AA21</f>
        <v>0</v>
      </c>
      <c r="AB21" s="8">
        <f>'Saisie B2C'!AB21+'Saisie B2B'!AB21</f>
        <v>0</v>
      </c>
      <c r="AC21" s="8">
        <f>'Saisie B2C'!AC21+'Saisie B2B'!AC21</f>
        <v>0</v>
      </c>
      <c r="AD21" s="8">
        <f>'Saisie B2C'!AD21+'Saisie B2B'!AD21</f>
        <v>0</v>
      </c>
      <c r="AE21" s="8">
        <f>'Saisie B2C'!AE21+'Saisie B2B'!AE21</f>
        <v>0</v>
      </c>
      <c r="AF21" s="8">
        <f>'Saisie B2C'!AF21+'Saisie B2B'!AF21</f>
        <v>0</v>
      </c>
      <c r="AG21" s="8">
        <f>'Saisie B2C'!AG21+'Saisie B2B'!AG21</f>
        <v>0</v>
      </c>
      <c r="AH21" s="8">
        <f>'Saisie B2C'!AH21+'Saisie B2B'!AH21</f>
        <v>0</v>
      </c>
    </row>
    <row r="22" spans="1:34" x14ac:dyDescent="0.45">
      <c r="A22" s="8" t="str">
        <f>'Saisie B2C'!A22</f>
        <v>TANGO</v>
      </c>
      <c r="B22" s="8" t="str">
        <f>'Saisie B2C'!B22</f>
        <v>pvt_rgz_dthibaut.ftth</v>
      </c>
      <c r="D22" s="8">
        <f>'Saisie B2C'!D22+'Saisie B2B'!D22</f>
        <v>0</v>
      </c>
      <c r="E22" s="8">
        <f>'Saisie B2C'!E22+'Saisie B2B'!E22</f>
        <v>0</v>
      </c>
      <c r="F22" s="8">
        <f>'Saisie B2C'!F22+'Saisie B2B'!F22</f>
        <v>0</v>
      </c>
      <c r="G22" s="8">
        <f>'Saisie B2C'!G22+'Saisie B2B'!G22</f>
        <v>0</v>
      </c>
      <c r="H22" s="8">
        <f>'Saisie B2C'!H22+'Saisie B2B'!H22</f>
        <v>0</v>
      </c>
      <c r="I22" s="8">
        <f>'Saisie B2C'!I22+'Saisie B2B'!I22</f>
        <v>0</v>
      </c>
      <c r="J22" s="8">
        <f>'Saisie B2C'!J22+'Saisie B2B'!J22</f>
        <v>0</v>
      </c>
      <c r="K22" s="8">
        <f>'Saisie B2C'!K22+'Saisie B2B'!K22</f>
        <v>0</v>
      </c>
      <c r="L22" s="8">
        <f>'Saisie B2C'!L22+'Saisie B2B'!L22</f>
        <v>0</v>
      </c>
      <c r="M22" s="8">
        <f>'Saisie B2C'!M22+'Saisie B2B'!M22</f>
        <v>0</v>
      </c>
      <c r="N22" s="8">
        <f>'Saisie B2C'!N22+'Saisie B2B'!N22</f>
        <v>0</v>
      </c>
      <c r="O22" s="8">
        <f>'Saisie B2C'!O22+'Saisie B2B'!O22</f>
        <v>0</v>
      </c>
      <c r="P22" s="8">
        <f>'Saisie B2C'!P22+'Saisie B2B'!P22</f>
        <v>0</v>
      </c>
      <c r="Q22" s="8">
        <f>'Saisie B2C'!Q22+'Saisie B2B'!Q22</f>
        <v>0</v>
      </c>
      <c r="R22" s="8">
        <f>'Saisie B2C'!R22+'Saisie B2B'!R22</f>
        <v>0</v>
      </c>
      <c r="S22" s="8">
        <f>'Saisie B2C'!S22+'Saisie B2B'!S22</f>
        <v>0</v>
      </c>
      <c r="T22" s="8">
        <f>'Saisie B2C'!T22+'Saisie B2B'!T22</f>
        <v>0</v>
      </c>
      <c r="U22" s="8">
        <f>'Saisie B2C'!U22+'Saisie B2B'!U22</f>
        <v>0</v>
      </c>
      <c r="V22" s="8">
        <f>'Saisie B2C'!V22+'Saisie B2B'!V22</f>
        <v>0</v>
      </c>
      <c r="W22" s="8">
        <f>'Saisie B2C'!W22+'Saisie B2B'!W22</f>
        <v>0</v>
      </c>
      <c r="X22" s="8">
        <f>'Saisie B2C'!X22+'Saisie B2B'!X22</f>
        <v>0</v>
      </c>
      <c r="Y22" s="8">
        <f>'Saisie B2C'!Y22+'Saisie B2B'!Y22</f>
        <v>0</v>
      </c>
      <c r="Z22" s="8">
        <f>'Saisie B2C'!Z22+'Saisie B2B'!Z22</f>
        <v>0</v>
      </c>
      <c r="AA22" s="8">
        <f>'Saisie B2C'!AA22+'Saisie B2B'!AA22</f>
        <v>0</v>
      </c>
      <c r="AB22" s="8">
        <f>'Saisie B2C'!AB22+'Saisie B2B'!AB22</f>
        <v>0</v>
      </c>
      <c r="AC22" s="8">
        <f>'Saisie B2C'!AC22+'Saisie B2B'!AC22</f>
        <v>0</v>
      </c>
      <c r="AD22" s="8">
        <f>'Saisie B2C'!AD22+'Saisie B2B'!AD22</f>
        <v>0</v>
      </c>
      <c r="AE22" s="8">
        <f>'Saisie B2C'!AE22+'Saisie B2B'!AE22</f>
        <v>0</v>
      </c>
      <c r="AF22" s="8">
        <f>'Saisie B2C'!AF22+'Saisie B2B'!AF22</f>
        <v>0</v>
      </c>
      <c r="AG22" s="8">
        <f>'Saisie B2C'!AG22+'Saisie B2B'!AG22</f>
        <v>0</v>
      </c>
      <c r="AH22" s="8">
        <f>'Saisie B2C'!AH22+'Saisie B2B'!AH22</f>
        <v>0</v>
      </c>
    </row>
    <row r="23" spans="1:34" x14ac:dyDescent="0.45">
      <c r="A23" s="8" t="str">
        <f>'Saisie B2C'!A23</f>
        <v>TANGO</v>
      </c>
      <c r="B23" s="8" t="str">
        <f>'Saisie B2C'!B23</f>
        <v>pms_rgz_hfrancine.ftth</v>
      </c>
      <c r="D23" s="8">
        <f>'Saisie B2C'!D23+'Saisie B2B'!D23</f>
        <v>0</v>
      </c>
      <c r="E23" s="8">
        <f>'Saisie B2C'!E23+'Saisie B2B'!E23</f>
        <v>0</v>
      </c>
      <c r="F23" s="8">
        <f>'Saisie B2C'!F23+'Saisie B2B'!F23</f>
        <v>0</v>
      </c>
      <c r="G23" s="8">
        <f>'Saisie B2C'!G23+'Saisie B2B'!G23</f>
        <v>0</v>
      </c>
      <c r="H23" s="8">
        <f>'Saisie B2C'!H23+'Saisie B2B'!H23</f>
        <v>0</v>
      </c>
      <c r="I23" s="8">
        <f>'Saisie B2C'!I23+'Saisie B2B'!I23</f>
        <v>0</v>
      </c>
      <c r="J23" s="8">
        <f>'Saisie B2C'!J23+'Saisie B2B'!J23</f>
        <v>0</v>
      </c>
      <c r="K23" s="8">
        <f>'Saisie B2C'!K23+'Saisie B2B'!K23</f>
        <v>0</v>
      </c>
      <c r="L23" s="8">
        <f>'Saisie B2C'!L23+'Saisie B2B'!L23</f>
        <v>0</v>
      </c>
      <c r="M23" s="8">
        <f>'Saisie B2C'!M23+'Saisie B2B'!M23</f>
        <v>0</v>
      </c>
      <c r="N23" s="8">
        <f>'Saisie B2C'!N23+'Saisie B2B'!N23</f>
        <v>0</v>
      </c>
      <c r="O23" s="8">
        <f>'Saisie B2C'!O23+'Saisie B2B'!O23</f>
        <v>0</v>
      </c>
      <c r="P23" s="8">
        <f>'Saisie B2C'!P23+'Saisie B2B'!P23</f>
        <v>0</v>
      </c>
      <c r="Q23" s="8">
        <f>'Saisie B2C'!Q23+'Saisie B2B'!Q23</f>
        <v>0</v>
      </c>
      <c r="R23" s="8">
        <f>'Saisie B2C'!R23+'Saisie B2B'!R23</f>
        <v>0</v>
      </c>
      <c r="S23" s="8">
        <f>'Saisie B2C'!S23+'Saisie B2B'!S23</f>
        <v>0</v>
      </c>
      <c r="T23" s="8">
        <f>'Saisie B2C'!T23+'Saisie B2B'!T23</f>
        <v>0</v>
      </c>
      <c r="U23" s="8">
        <f>'Saisie B2C'!U23+'Saisie B2B'!U23</f>
        <v>0</v>
      </c>
      <c r="V23" s="8">
        <f>'Saisie B2C'!V23+'Saisie B2B'!V23</f>
        <v>0</v>
      </c>
      <c r="W23" s="8">
        <f>'Saisie B2C'!W23+'Saisie B2B'!W23</f>
        <v>0</v>
      </c>
      <c r="X23" s="8">
        <f>'Saisie B2C'!X23+'Saisie B2B'!X23</f>
        <v>0</v>
      </c>
      <c r="Y23" s="8">
        <f>'Saisie B2C'!Y23+'Saisie B2B'!Y23</f>
        <v>0</v>
      </c>
      <c r="Z23" s="8">
        <f>'Saisie B2C'!Z23+'Saisie B2B'!Z23</f>
        <v>0</v>
      </c>
      <c r="AA23" s="8">
        <f>'Saisie B2C'!AA23+'Saisie B2B'!AA23</f>
        <v>0</v>
      </c>
      <c r="AB23" s="8">
        <f>'Saisie B2C'!AB23+'Saisie B2B'!AB23</f>
        <v>0</v>
      </c>
      <c r="AC23" s="8">
        <f>'Saisie B2C'!AC23+'Saisie B2B'!AC23</f>
        <v>0</v>
      </c>
      <c r="AD23" s="8">
        <f>'Saisie B2C'!AD23+'Saisie B2B'!AD23</f>
        <v>0</v>
      </c>
      <c r="AE23" s="8">
        <f>'Saisie B2C'!AE23+'Saisie B2B'!AE23</f>
        <v>0</v>
      </c>
      <c r="AF23" s="8">
        <f>'Saisie B2C'!AF23+'Saisie B2B'!AF23</f>
        <v>0</v>
      </c>
      <c r="AG23" s="8">
        <f>'Saisie B2C'!AG23+'Saisie B2B'!AG23</f>
        <v>0</v>
      </c>
      <c r="AH23" s="8">
        <f>'Saisie B2C'!AH23+'Saisie B2B'!AH23</f>
        <v>0</v>
      </c>
    </row>
    <row r="24" spans="1:34" x14ac:dyDescent="0.45">
      <c r="A24" s="8" t="str">
        <f>'Saisie B2C'!A24</f>
        <v>TANGO</v>
      </c>
      <c r="B24" s="8" t="str">
        <f>'Saisie B2C'!B24</f>
        <v>pvt_rgz_wdiane.ftth</v>
      </c>
      <c r="D24" s="8">
        <f>'Saisie B2C'!D24+'Saisie B2B'!D24</f>
        <v>0</v>
      </c>
      <c r="E24" s="8">
        <f>'Saisie B2C'!E24+'Saisie B2B'!E24</f>
        <v>0</v>
      </c>
      <c r="F24" s="8">
        <f>'Saisie B2C'!F24+'Saisie B2B'!F24</f>
        <v>0</v>
      </c>
      <c r="G24" s="8">
        <f>'Saisie B2C'!G24+'Saisie B2B'!G24</f>
        <v>0</v>
      </c>
      <c r="H24" s="8">
        <f>'Saisie B2C'!H24+'Saisie B2B'!H24</f>
        <v>0</v>
      </c>
      <c r="I24" s="8">
        <f>'Saisie B2C'!I24+'Saisie B2B'!I24</f>
        <v>0</v>
      </c>
      <c r="J24" s="8">
        <f>'Saisie B2C'!J24+'Saisie B2B'!J24</f>
        <v>0</v>
      </c>
      <c r="K24" s="8">
        <f>'Saisie B2C'!K24+'Saisie B2B'!K24</f>
        <v>0</v>
      </c>
      <c r="L24" s="8">
        <f>'Saisie B2C'!L24+'Saisie B2B'!L24</f>
        <v>0</v>
      </c>
      <c r="M24" s="8">
        <f>'Saisie B2C'!M24+'Saisie B2B'!M24</f>
        <v>0</v>
      </c>
      <c r="N24" s="8">
        <f>'Saisie B2C'!N24+'Saisie B2B'!N24</f>
        <v>0</v>
      </c>
      <c r="O24" s="8">
        <f>'Saisie B2C'!O24+'Saisie B2B'!O24</f>
        <v>0</v>
      </c>
      <c r="P24" s="8">
        <f>'Saisie B2C'!P24+'Saisie B2B'!P24</f>
        <v>0</v>
      </c>
      <c r="Q24" s="8">
        <f>'Saisie B2C'!Q24+'Saisie B2B'!Q24</f>
        <v>0</v>
      </c>
      <c r="R24" s="8">
        <f>'Saisie B2C'!R24+'Saisie B2B'!R24</f>
        <v>0</v>
      </c>
      <c r="S24" s="8">
        <f>'Saisie B2C'!S24+'Saisie B2B'!S24</f>
        <v>0</v>
      </c>
      <c r="T24" s="8">
        <f>'Saisie B2C'!T24+'Saisie B2B'!T24</f>
        <v>0</v>
      </c>
      <c r="U24" s="8">
        <f>'Saisie B2C'!U24+'Saisie B2B'!U24</f>
        <v>0</v>
      </c>
      <c r="V24" s="8">
        <f>'Saisie B2C'!V24+'Saisie B2B'!V24</f>
        <v>0</v>
      </c>
      <c r="W24" s="8">
        <f>'Saisie B2C'!W24+'Saisie B2B'!W24</f>
        <v>0</v>
      </c>
      <c r="X24" s="8">
        <f>'Saisie B2C'!X24+'Saisie B2B'!X24</f>
        <v>0</v>
      </c>
      <c r="Y24" s="8">
        <f>'Saisie B2C'!Y24+'Saisie B2B'!Y24</f>
        <v>0</v>
      </c>
      <c r="Z24" s="8">
        <f>'Saisie B2C'!Z24+'Saisie B2B'!Z24</f>
        <v>0</v>
      </c>
      <c r="AA24" s="8">
        <f>'Saisie B2C'!AA24+'Saisie B2B'!AA24</f>
        <v>0</v>
      </c>
      <c r="AB24" s="8">
        <f>'Saisie B2C'!AB24+'Saisie B2B'!AB24</f>
        <v>0</v>
      </c>
      <c r="AC24" s="8">
        <f>'Saisie B2C'!AC24+'Saisie B2B'!AC24</f>
        <v>0</v>
      </c>
      <c r="AD24" s="8">
        <f>'Saisie B2C'!AD24+'Saisie B2B'!AD24</f>
        <v>0</v>
      </c>
      <c r="AE24" s="8">
        <f>'Saisie B2C'!AE24+'Saisie B2B'!AE24</f>
        <v>0</v>
      </c>
      <c r="AF24" s="8">
        <f>'Saisie B2C'!AF24+'Saisie B2B'!AF24</f>
        <v>0</v>
      </c>
      <c r="AG24" s="8">
        <f>'Saisie B2C'!AG24+'Saisie B2B'!AG24</f>
        <v>0</v>
      </c>
      <c r="AH24" s="8">
        <f>'Saisie B2C'!AH24+'Saisie B2B'!AH24</f>
        <v>0</v>
      </c>
    </row>
    <row r="25" spans="1:34" x14ac:dyDescent="0.45">
      <c r="A25" s="8" t="str">
        <f>'Saisie B2C'!A25</f>
        <v>TANGO</v>
      </c>
      <c r="B25" s="8" t="str">
        <f>'Saisie B2C'!B25</f>
        <v>pvt_rgz_gsahoui.ftth</v>
      </c>
      <c r="D25" s="8">
        <f>'Saisie B2C'!D25+'Saisie B2B'!D25</f>
        <v>0</v>
      </c>
      <c r="E25" s="8">
        <f>'Saisie B2C'!E25+'Saisie B2B'!E25</f>
        <v>0</v>
      </c>
      <c r="F25" s="8">
        <f>'Saisie B2C'!F25+'Saisie B2B'!F25</f>
        <v>0</v>
      </c>
      <c r="G25" s="8">
        <f>'Saisie B2C'!G25+'Saisie B2B'!G25</f>
        <v>0</v>
      </c>
      <c r="H25" s="8">
        <f>'Saisie B2C'!H25+'Saisie B2B'!H25</f>
        <v>0</v>
      </c>
      <c r="I25" s="8">
        <f>'Saisie B2C'!I25+'Saisie B2B'!I25</f>
        <v>0</v>
      </c>
      <c r="J25" s="8">
        <f>'Saisie B2C'!J25+'Saisie B2B'!J25</f>
        <v>0</v>
      </c>
      <c r="K25" s="8">
        <f>'Saisie B2C'!K25+'Saisie B2B'!K25</f>
        <v>0</v>
      </c>
      <c r="L25" s="8">
        <f>'Saisie B2C'!L25+'Saisie B2B'!L25</f>
        <v>0</v>
      </c>
      <c r="M25" s="8">
        <f>'Saisie B2C'!M25+'Saisie B2B'!M25</f>
        <v>0</v>
      </c>
      <c r="N25" s="8">
        <f>'Saisie B2C'!N25+'Saisie B2B'!N25</f>
        <v>0</v>
      </c>
      <c r="O25" s="8">
        <f>'Saisie B2C'!O25+'Saisie B2B'!O25</f>
        <v>0</v>
      </c>
      <c r="P25" s="8">
        <f>'Saisie B2C'!P25+'Saisie B2B'!P25</f>
        <v>0</v>
      </c>
      <c r="Q25" s="8">
        <f>'Saisie B2C'!Q25+'Saisie B2B'!Q25</f>
        <v>0</v>
      </c>
      <c r="R25" s="8">
        <f>'Saisie B2C'!R25+'Saisie B2B'!R25</f>
        <v>0</v>
      </c>
      <c r="S25" s="8">
        <f>'Saisie B2C'!S25+'Saisie B2B'!S25</f>
        <v>0</v>
      </c>
      <c r="T25" s="8">
        <f>'Saisie B2C'!T25+'Saisie B2B'!T25</f>
        <v>0</v>
      </c>
      <c r="U25" s="8">
        <f>'Saisie B2C'!U25+'Saisie B2B'!U25</f>
        <v>0</v>
      </c>
      <c r="V25" s="8">
        <f>'Saisie B2C'!V25+'Saisie B2B'!V25</f>
        <v>0</v>
      </c>
      <c r="W25" s="8">
        <f>'Saisie B2C'!W25+'Saisie B2B'!W25</f>
        <v>0</v>
      </c>
      <c r="X25" s="8">
        <f>'Saisie B2C'!X25+'Saisie B2B'!X25</f>
        <v>0</v>
      </c>
      <c r="Y25" s="8">
        <f>'Saisie B2C'!Y25+'Saisie B2B'!Y25</f>
        <v>0</v>
      </c>
      <c r="Z25" s="8">
        <f>'Saisie B2C'!Z25+'Saisie B2B'!Z25</f>
        <v>0</v>
      </c>
      <c r="AA25" s="8">
        <f>'Saisie B2C'!AA25+'Saisie B2B'!AA25</f>
        <v>0</v>
      </c>
      <c r="AB25" s="8">
        <f>'Saisie B2C'!AB25+'Saisie B2B'!AB25</f>
        <v>0</v>
      </c>
      <c r="AC25" s="8">
        <f>'Saisie B2C'!AC25+'Saisie B2B'!AC25</f>
        <v>0</v>
      </c>
      <c r="AD25" s="8">
        <f>'Saisie B2C'!AD25+'Saisie B2B'!AD25</f>
        <v>0</v>
      </c>
      <c r="AE25" s="8">
        <f>'Saisie B2C'!AE25+'Saisie B2B'!AE25</f>
        <v>0</v>
      </c>
      <c r="AF25" s="8">
        <f>'Saisie B2C'!AF25+'Saisie B2B'!AF25</f>
        <v>0</v>
      </c>
      <c r="AG25" s="8">
        <f>'Saisie B2C'!AG25+'Saisie B2B'!AG25</f>
        <v>0</v>
      </c>
      <c r="AH25" s="8">
        <f>'Saisie B2C'!AH25+'Saisie B2B'!AH25</f>
        <v>0</v>
      </c>
    </row>
    <row r="26" spans="1:34" x14ac:dyDescent="0.45">
      <c r="A26" s="8" t="str">
        <f>'Saisie B2C'!A26</f>
        <v>ZULU</v>
      </c>
      <c r="B26" s="8" t="str">
        <f>'Saisie B2C'!B26</f>
        <v>pvt-rgz-olouis.ftth</v>
      </c>
      <c r="D26" s="8">
        <f>'Saisie B2C'!D26+'Saisie B2B'!D26</f>
        <v>0</v>
      </c>
      <c r="E26" s="8">
        <f>'Saisie B2C'!E26+'Saisie B2B'!E26</f>
        <v>0</v>
      </c>
      <c r="F26" s="8">
        <f>'Saisie B2C'!F26+'Saisie B2B'!F26</f>
        <v>0</v>
      </c>
      <c r="G26" s="8">
        <f>'Saisie B2C'!G26+'Saisie B2B'!G26</f>
        <v>0</v>
      </c>
      <c r="H26" s="8">
        <f>'Saisie B2C'!H26+'Saisie B2B'!H26</f>
        <v>0</v>
      </c>
      <c r="I26" s="8">
        <f>'Saisie B2C'!I26+'Saisie B2B'!I26</f>
        <v>0</v>
      </c>
      <c r="J26" s="8">
        <f>'Saisie B2C'!J26+'Saisie B2B'!J26</f>
        <v>0</v>
      </c>
      <c r="K26" s="8">
        <f>'Saisie B2C'!K26+'Saisie B2B'!K26</f>
        <v>0</v>
      </c>
      <c r="L26" s="8">
        <f>'Saisie B2C'!L26+'Saisie B2B'!L26</f>
        <v>0</v>
      </c>
      <c r="M26" s="8">
        <f>'Saisie B2C'!M26+'Saisie B2B'!M26</f>
        <v>0</v>
      </c>
      <c r="N26" s="8">
        <f>'Saisie B2C'!N26+'Saisie B2B'!N26</f>
        <v>0</v>
      </c>
      <c r="O26" s="8">
        <f>'Saisie B2C'!O26+'Saisie B2B'!O26</f>
        <v>0</v>
      </c>
      <c r="P26" s="8">
        <f>'Saisie B2C'!P26+'Saisie B2B'!P26</f>
        <v>0</v>
      </c>
      <c r="Q26" s="8">
        <f>'Saisie B2C'!Q26+'Saisie B2B'!Q26</f>
        <v>0</v>
      </c>
      <c r="R26" s="8">
        <f>'Saisie B2C'!R26+'Saisie B2B'!R26</f>
        <v>0</v>
      </c>
      <c r="S26" s="8">
        <f>'Saisie B2C'!S26+'Saisie B2B'!S26</f>
        <v>0</v>
      </c>
      <c r="T26" s="8">
        <f>'Saisie B2C'!T26+'Saisie B2B'!T26</f>
        <v>0</v>
      </c>
      <c r="U26" s="8">
        <f>'Saisie B2C'!U26+'Saisie B2B'!U26</f>
        <v>0</v>
      </c>
      <c r="V26" s="8">
        <f>'Saisie B2C'!V26+'Saisie B2B'!V26</f>
        <v>0</v>
      </c>
      <c r="W26" s="8">
        <f>'Saisie B2C'!W26+'Saisie B2B'!W26</f>
        <v>0</v>
      </c>
      <c r="X26" s="8">
        <f>'Saisie B2C'!X26+'Saisie B2B'!X26</f>
        <v>0</v>
      </c>
      <c r="Y26" s="8">
        <f>'Saisie B2C'!Y26+'Saisie B2B'!Y26</f>
        <v>0</v>
      </c>
      <c r="Z26" s="8">
        <f>'Saisie B2C'!Z26+'Saisie B2B'!Z26</f>
        <v>0</v>
      </c>
      <c r="AA26" s="8">
        <f>'Saisie B2C'!AA26+'Saisie B2B'!AA26</f>
        <v>0</v>
      </c>
      <c r="AB26" s="8">
        <f>'Saisie B2C'!AB26+'Saisie B2B'!AB26</f>
        <v>0</v>
      </c>
      <c r="AC26" s="8">
        <f>'Saisie B2C'!AC26+'Saisie B2B'!AC26</f>
        <v>0</v>
      </c>
      <c r="AD26" s="8">
        <f>'Saisie B2C'!AD26+'Saisie B2B'!AD26</f>
        <v>0</v>
      </c>
      <c r="AE26" s="8">
        <f>'Saisie B2C'!AE26+'Saisie B2B'!AE26</f>
        <v>0</v>
      </c>
      <c r="AF26" s="8">
        <f>'Saisie B2C'!AF26+'Saisie B2B'!AF26</f>
        <v>0</v>
      </c>
      <c r="AG26" s="8">
        <f>'Saisie B2C'!AG26+'Saisie B2B'!AG26</f>
        <v>0</v>
      </c>
      <c r="AH26" s="8">
        <f>'Saisie B2C'!AH26+'Saisie B2B'!AH26</f>
        <v>0</v>
      </c>
    </row>
    <row r="27" spans="1:34" x14ac:dyDescent="0.45">
      <c r="A27" s="8" t="str">
        <f>'Saisie B2C'!A27</f>
        <v>ZULU</v>
      </c>
      <c r="B27" s="8" t="str">
        <f>'Saisie B2C'!B27</f>
        <v>pvt_rgz_ahugues.ftth</v>
      </c>
      <c r="D27" s="8">
        <f>'Saisie B2C'!D27+'Saisie B2B'!D27</f>
        <v>0</v>
      </c>
      <c r="E27" s="8">
        <f>'Saisie B2C'!E27+'Saisie B2B'!E27</f>
        <v>0</v>
      </c>
      <c r="F27" s="8">
        <f>'Saisie B2C'!F27+'Saisie B2B'!F27</f>
        <v>0</v>
      </c>
      <c r="G27" s="8">
        <f>'Saisie B2C'!G27+'Saisie B2B'!G27</f>
        <v>0</v>
      </c>
      <c r="H27" s="8">
        <f>'Saisie B2C'!H27+'Saisie B2B'!H27</f>
        <v>0</v>
      </c>
      <c r="I27" s="8">
        <f>'Saisie B2C'!I27+'Saisie B2B'!I27</f>
        <v>0</v>
      </c>
      <c r="J27" s="8">
        <f>'Saisie B2C'!J27+'Saisie B2B'!J27</f>
        <v>0</v>
      </c>
      <c r="K27" s="8">
        <f>'Saisie B2C'!K27+'Saisie B2B'!K27</f>
        <v>0</v>
      </c>
      <c r="L27" s="8">
        <f>'Saisie B2C'!L27+'Saisie B2B'!L27</f>
        <v>0</v>
      </c>
      <c r="M27" s="8">
        <f>'Saisie B2C'!M27+'Saisie B2B'!M27</f>
        <v>0</v>
      </c>
      <c r="N27" s="8">
        <f>'Saisie B2C'!N27+'Saisie B2B'!N27</f>
        <v>0</v>
      </c>
      <c r="O27" s="8">
        <f>'Saisie B2C'!O27+'Saisie B2B'!O27</f>
        <v>0</v>
      </c>
      <c r="P27" s="8">
        <f>'Saisie B2C'!P27+'Saisie B2B'!P27</f>
        <v>0</v>
      </c>
      <c r="Q27" s="8">
        <f>'Saisie B2C'!Q27+'Saisie B2B'!Q27</f>
        <v>0</v>
      </c>
      <c r="R27" s="8">
        <f>'Saisie B2C'!R27+'Saisie B2B'!R27</f>
        <v>0</v>
      </c>
      <c r="S27" s="8">
        <f>'Saisie B2C'!S27+'Saisie B2B'!S27</f>
        <v>0</v>
      </c>
      <c r="T27" s="8">
        <f>'Saisie B2C'!T27+'Saisie B2B'!T27</f>
        <v>0</v>
      </c>
      <c r="U27" s="8">
        <f>'Saisie B2C'!U27+'Saisie B2B'!U27</f>
        <v>0</v>
      </c>
      <c r="V27" s="8">
        <f>'Saisie B2C'!V27+'Saisie B2B'!V27</f>
        <v>0</v>
      </c>
      <c r="W27" s="8">
        <f>'Saisie B2C'!W27+'Saisie B2B'!W27</f>
        <v>0</v>
      </c>
      <c r="X27" s="8">
        <f>'Saisie B2C'!X27+'Saisie B2B'!X27</f>
        <v>0</v>
      </c>
      <c r="Y27" s="8">
        <f>'Saisie B2C'!Y27+'Saisie B2B'!Y27</f>
        <v>0</v>
      </c>
      <c r="Z27" s="8">
        <f>'Saisie B2C'!Z27+'Saisie B2B'!Z27</f>
        <v>0</v>
      </c>
      <c r="AA27" s="8">
        <f>'Saisie B2C'!AA27+'Saisie B2B'!AA27</f>
        <v>0</v>
      </c>
      <c r="AB27" s="8">
        <f>'Saisie B2C'!AB27+'Saisie B2B'!AB27</f>
        <v>0</v>
      </c>
      <c r="AC27" s="8">
        <f>'Saisie B2C'!AC27+'Saisie B2B'!AC27</f>
        <v>0</v>
      </c>
      <c r="AD27" s="8">
        <f>'Saisie B2C'!AD27+'Saisie B2B'!AD27</f>
        <v>0</v>
      </c>
      <c r="AE27" s="8">
        <f>'Saisie B2C'!AE27+'Saisie B2B'!AE27</f>
        <v>0</v>
      </c>
      <c r="AF27" s="8">
        <f>'Saisie B2C'!AF27+'Saisie B2B'!AF27</f>
        <v>0</v>
      </c>
      <c r="AG27" s="8">
        <f>'Saisie B2C'!AG27+'Saisie B2B'!AG27</f>
        <v>0</v>
      </c>
      <c r="AH27" s="8">
        <f>'Saisie B2C'!AH27+'Saisie B2B'!AH27</f>
        <v>0</v>
      </c>
    </row>
    <row r="28" spans="1:34" x14ac:dyDescent="0.45">
      <c r="A28" s="8" t="str">
        <f>'Saisie B2C'!A28</f>
        <v>ZULU</v>
      </c>
      <c r="B28" s="8" t="str">
        <f>'Saisie B2C'!B28</f>
        <v>pvt_rgz_adidier.ftth</v>
      </c>
      <c r="D28" s="8">
        <f>'Saisie B2C'!D28+'Saisie B2B'!D28</f>
        <v>0</v>
      </c>
      <c r="E28" s="8">
        <f>'Saisie B2C'!E28+'Saisie B2B'!E28</f>
        <v>0</v>
      </c>
      <c r="F28" s="8">
        <f>'Saisie B2C'!F28+'Saisie B2B'!F28</f>
        <v>0</v>
      </c>
      <c r="G28" s="8">
        <f>'Saisie B2C'!G28+'Saisie B2B'!G28</f>
        <v>0</v>
      </c>
      <c r="H28" s="8">
        <f>'Saisie B2C'!H28+'Saisie B2B'!H28</f>
        <v>0</v>
      </c>
      <c r="I28" s="8">
        <f>'Saisie B2C'!I28+'Saisie B2B'!I28</f>
        <v>0</v>
      </c>
      <c r="J28" s="8">
        <f>'Saisie B2C'!J28+'Saisie B2B'!J28</f>
        <v>0</v>
      </c>
      <c r="K28" s="8">
        <f>'Saisie B2C'!K28+'Saisie B2B'!K28</f>
        <v>0</v>
      </c>
      <c r="L28" s="8">
        <f>'Saisie B2C'!L28+'Saisie B2B'!L28</f>
        <v>0</v>
      </c>
      <c r="M28" s="8">
        <f>'Saisie B2C'!M28+'Saisie B2B'!M28</f>
        <v>0</v>
      </c>
      <c r="N28" s="8">
        <f>'Saisie B2C'!N28+'Saisie B2B'!N28</f>
        <v>0</v>
      </c>
      <c r="O28" s="8">
        <f>'Saisie B2C'!O28+'Saisie B2B'!O28</f>
        <v>0</v>
      </c>
      <c r="P28" s="8">
        <f>'Saisie B2C'!P28+'Saisie B2B'!P28</f>
        <v>0</v>
      </c>
      <c r="Q28" s="8">
        <f>'Saisie B2C'!Q28+'Saisie B2B'!Q28</f>
        <v>0</v>
      </c>
      <c r="R28" s="8">
        <f>'Saisie B2C'!R28+'Saisie B2B'!R28</f>
        <v>0</v>
      </c>
      <c r="S28" s="8">
        <f>'Saisie B2C'!S28+'Saisie B2B'!S28</f>
        <v>0</v>
      </c>
      <c r="T28" s="8">
        <f>'Saisie B2C'!T28+'Saisie B2B'!T28</f>
        <v>0</v>
      </c>
      <c r="U28" s="8">
        <f>'Saisie B2C'!U28+'Saisie B2B'!U28</f>
        <v>0</v>
      </c>
      <c r="V28" s="8">
        <f>'Saisie B2C'!V28+'Saisie B2B'!V28</f>
        <v>0</v>
      </c>
      <c r="W28" s="8">
        <f>'Saisie B2C'!W28+'Saisie B2B'!W28</f>
        <v>0</v>
      </c>
      <c r="X28" s="8">
        <f>'Saisie B2C'!X28+'Saisie B2B'!X28</f>
        <v>0</v>
      </c>
      <c r="Y28" s="8">
        <f>'Saisie B2C'!Y28+'Saisie B2B'!Y28</f>
        <v>0</v>
      </c>
      <c r="Z28" s="8">
        <f>'Saisie B2C'!Z28+'Saisie B2B'!Z28</f>
        <v>0</v>
      </c>
      <c r="AA28" s="8">
        <f>'Saisie B2C'!AA28+'Saisie B2B'!AA28</f>
        <v>0</v>
      </c>
      <c r="AB28" s="8">
        <f>'Saisie B2C'!AB28+'Saisie B2B'!AB28</f>
        <v>0</v>
      </c>
      <c r="AC28" s="8">
        <f>'Saisie B2C'!AC28+'Saisie B2B'!AC28</f>
        <v>0</v>
      </c>
      <c r="AD28" s="8">
        <f>'Saisie B2C'!AD28+'Saisie B2B'!AD28</f>
        <v>0</v>
      </c>
      <c r="AE28" s="8">
        <f>'Saisie B2C'!AE28+'Saisie B2B'!AE28</f>
        <v>0</v>
      </c>
      <c r="AF28" s="8">
        <f>'Saisie B2C'!AF28+'Saisie B2B'!AF28</f>
        <v>0</v>
      </c>
      <c r="AG28" s="8">
        <f>'Saisie B2C'!AG28+'Saisie B2B'!AG28</f>
        <v>0</v>
      </c>
      <c r="AH28" s="8">
        <f>'Saisie B2C'!AH28+'Saisie B2B'!AH28</f>
        <v>0</v>
      </c>
    </row>
    <row r="29" spans="1:34" x14ac:dyDescent="0.45">
      <c r="A29" s="8" t="str">
        <f>'Saisie B2C'!A29</f>
        <v>CHARLIE</v>
      </c>
      <c r="B29" s="8" t="str">
        <f>'Saisie B2C'!B29</f>
        <v>pms_rgz_wmarius.ftth</v>
      </c>
      <c r="D29" s="8">
        <f>'Saisie B2C'!D29+'Saisie B2B'!D29</f>
        <v>0</v>
      </c>
      <c r="E29" s="8">
        <f>'Saisie B2C'!E29+'Saisie B2B'!E29</f>
        <v>0</v>
      </c>
      <c r="F29" s="8">
        <f>'Saisie B2C'!F29+'Saisie B2B'!F29</f>
        <v>0</v>
      </c>
      <c r="G29" s="8">
        <f>'Saisie B2C'!G29+'Saisie B2B'!G29</f>
        <v>0</v>
      </c>
      <c r="H29" s="8">
        <f>'Saisie B2C'!H29+'Saisie B2B'!H29</f>
        <v>0</v>
      </c>
      <c r="I29" s="8">
        <f>'Saisie B2C'!I29+'Saisie B2B'!I29</f>
        <v>0</v>
      </c>
      <c r="J29" s="8">
        <f>'Saisie B2C'!J29+'Saisie B2B'!J29</f>
        <v>0</v>
      </c>
      <c r="K29" s="8">
        <f>'Saisie B2C'!K29+'Saisie B2B'!K29</f>
        <v>0</v>
      </c>
      <c r="L29" s="8">
        <f>'Saisie B2C'!L29+'Saisie B2B'!L29</f>
        <v>0</v>
      </c>
      <c r="M29" s="8">
        <f>'Saisie B2C'!M29+'Saisie B2B'!M29</f>
        <v>0</v>
      </c>
      <c r="N29" s="8">
        <f>'Saisie B2C'!N29+'Saisie B2B'!N29</f>
        <v>0</v>
      </c>
      <c r="O29" s="8">
        <f>'Saisie B2C'!O29+'Saisie B2B'!O29</f>
        <v>0</v>
      </c>
      <c r="P29" s="8">
        <f>'Saisie B2C'!P29+'Saisie B2B'!P29</f>
        <v>0</v>
      </c>
      <c r="Q29" s="8">
        <f>'Saisie B2C'!Q29+'Saisie B2B'!Q29</f>
        <v>0</v>
      </c>
      <c r="R29" s="8">
        <f>'Saisie B2C'!R29+'Saisie B2B'!R29</f>
        <v>0</v>
      </c>
      <c r="S29" s="8">
        <f>'Saisie B2C'!S29+'Saisie B2B'!S29</f>
        <v>0</v>
      </c>
      <c r="T29" s="8">
        <f>'Saisie B2C'!T29+'Saisie B2B'!T29</f>
        <v>0</v>
      </c>
      <c r="U29" s="8">
        <f>'Saisie B2C'!U29+'Saisie B2B'!U29</f>
        <v>0</v>
      </c>
      <c r="V29" s="8">
        <f>'Saisie B2C'!V29+'Saisie B2B'!V29</f>
        <v>0</v>
      </c>
      <c r="W29" s="8">
        <f>'Saisie B2C'!W29+'Saisie B2B'!W29</f>
        <v>0</v>
      </c>
      <c r="X29" s="8">
        <f>'Saisie B2C'!X29+'Saisie B2B'!X29</f>
        <v>0</v>
      </c>
      <c r="Y29" s="8">
        <f>'Saisie B2C'!Y29+'Saisie B2B'!Y29</f>
        <v>0</v>
      </c>
      <c r="Z29" s="8">
        <f>'Saisie B2C'!Z29+'Saisie B2B'!Z29</f>
        <v>0</v>
      </c>
      <c r="AA29" s="8">
        <f>'Saisie B2C'!AA29+'Saisie B2B'!AA29</f>
        <v>0</v>
      </c>
      <c r="AB29" s="8">
        <f>'Saisie B2C'!AB29+'Saisie B2B'!AB29</f>
        <v>0</v>
      </c>
      <c r="AC29" s="8">
        <f>'Saisie B2C'!AC29+'Saisie B2B'!AC29</f>
        <v>0</v>
      </c>
      <c r="AD29" s="8">
        <f>'Saisie B2C'!AD29+'Saisie B2B'!AD29</f>
        <v>0</v>
      </c>
      <c r="AE29" s="8">
        <f>'Saisie B2C'!AE29+'Saisie B2B'!AE29</f>
        <v>0</v>
      </c>
      <c r="AF29" s="8">
        <f>'Saisie B2C'!AF29+'Saisie B2B'!AF29</f>
        <v>0</v>
      </c>
      <c r="AG29" s="8">
        <f>'Saisie B2C'!AG29+'Saisie B2B'!AG29</f>
        <v>0</v>
      </c>
      <c r="AH29" s="8">
        <f>'Saisie B2C'!AH29+'Saisie B2B'!AH29</f>
        <v>0</v>
      </c>
    </row>
    <row r="30" spans="1:34" x14ac:dyDescent="0.45">
      <c r="A30" s="8" t="str">
        <f>'Saisie B2C'!A30</f>
        <v>CHARLIE</v>
      </c>
      <c r="B30" s="8" t="str">
        <f>'Saisie B2C'!B30</f>
        <v>pvt_rgz_tsylvia.ftth</v>
      </c>
      <c r="D30" s="8">
        <f>'Saisie B2C'!D30+'Saisie B2B'!D30</f>
        <v>0</v>
      </c>
      <c r="E30" s="8">
        <f>'Saisie B2C'!E30+'Saisie B2B'!E30</f>
        <v>0</v>
      </c>
      <c r="F30" s="8">
        <f>'Saisie B2C'!F30+'Saisie B2B'!F30</f>
        <v>0</v>
      </c>
      <c r="G30" s="8">
        <f>'Saisie B2C'!G30+'Saisie B2B'!G30</f>
        <v>0</v>
      </c>
      <c r="H30" s="8">
        <f>'Saisie B2C'!H30+'Saisie B2B'!H30</f>
        <v>0</v>
      </c>
      <c r="I30" s="8">
        <f>'Saisie B2C'!I30+'Saisie B2B'!I30</f>
        <v>0</v>
      </c>
      <c r="J30" s="8">
        <f>'Saisie B2C'!J30+'Saisie B2B'!J30</f>
        <v>0</v>
      </c>
      <c r="K30" s="8">
        <f>'Saisie B2C'!K30+'Saisie B2B'!K30</f>
        <v>0</v>
      </c>
      <c r="L30" s="8">
        <f>'Saisie B2C'!L30+'Saisie B2B'!L30</f>
        <v>0</v>
      </c>
      <c r="M30" s="8">
        <f>'Saisie B2C'!M30+'Saisie B2B'!M30</f>
        <v>0</v>
      </c>
      <c r="N30" s="8">
        <f>'Saisie B2C'!N30+'Saisie B2B'!N30</f>
        <v>0</v>
      </c>
      <c r="O30" s="8">
        <f>'Saisie B2C'!O30+'Saisie B2B'!O30</f>
        <v>0</v>
      </c>
      <c r="P30" s="8">
        <f>'Saisie B2C'!P30+'Saisie B2B'!P30</f>
        <v>0</v>
      </c>
      <c r="Q30" s="8">
        <f>'Saisie B2C'!Q30+'Saisie B2B'!Q30</f>
        <v>0</v>
      </c>
      <c r="R30" s="8">
        <f>'Saisie B2C'!R30+'Saisie B2B'!R30</f>
        <v>0</v>
      </c>
      <c r="S30" s="8">
        <f>'Saisie B2C'!S30+'Saisie B2B'!S30</f>
        <v>0</v>
      </c>
      <c r="T30" s="8">
        <f>'Saisie B2C'!T30+'Saisie B2B'!T30</f>
        <v>0</v>
      </c>
      <c r="U30" s="8">
        <f>'Saisie B2C'!U30+'Saisie B2B'!U30</f>
        <v>0</v>
      </c>
      <c r="V30" s="8">
        <f>'Saisie B2C'!V30+'Saisie B2B'!V30</f>
        <v>0</v>
      </c>
      <c r="W30" s="8">
        <f>'Saisie B2C'!W30+'Saisie B2B'!W30</f>
        <v>0</v>
      </c>
      <c r="X30" s="8">
        <f>'Saisie B2C'!X30+'Saisie B2B'!X30</f>
        <v>0</v>
      </c>
      <c r="Y30" s="8">
        <f>'Saisie B2C'!Y30+'Saisie B2B'!Y30</f>
        <v>0</v>
      </c>
      <c r="Z30" s="8">
        <f>'Saisie B2C'!Z30+'Saisie B2B'!Z30</f>
        <v>0</v>
      </c>
      <c r="AA30" s="8">
        <f>'Saisie B2C'!AA30+'Saisie B2B'!AA30</f>
        <v>0</v>
      </c>
      <c r="AB30" s="8">
        <f>'Saisie B2C'!AB30+'Saisie B2B'!AB30</f>
        <v>0</v>
      </c>
      <c r="AC30" s="8">
        <f>'Saisie B2C'!AC30+'Saisie B2B'!AC30</f>
        <v>0</v>
      </c>
      <c r="AD30" s="8">
        <f>'Saisie B2C'!AD30+'Saisie B2B'!AD30</f>
        <v>0</v>
      </c>
      <c r="AE30" s="8">
        <f>'Saisie B2C'!AE30+'Saisie B2B'!AE30</f>
        <v>0</v>
      </c>
      <c r="AF30" s="8">
        <f>'Saisie B2C'!AF30+'Saisie B2B'!AF30</f>
        <v>0</v>
      </c>
      <c r="AG30" s="8">
        <f>'Saisie B2C'!AG30+'Saisie B2B'!AG30</f>
        <v>0</v>
      </c>
      <c r="AH30" s="8">
        <f>'Saisie B2C'!AH30+'Saisie B2B'!AH30</f>
        <v>0</v>
      </c>
    </row>
    <row r="31" spans="1:34" x14ac:dyDescent="0.45">
      <c r="A31" s="8" t="str">
        <f>'Saisie B2C'!A31</f>
        <v>MIKE</v>
      </c>
      <c r="B31" s="8" t="str">
        <f>'Saisie B2C'!B31</f>
        <v>pvt_rgz_oalain.ftth</v>
      </c>
      <c r="D31" s="8">
        <f>'Saisie B2C'!D31+'Saisie B2B'!D31</f>
        <v>0</v>
      </c>
      <c r="E31" s="8">
        <f>'Saisie B2C'!E31+'Saisie B2B'!E31</f>
        <v>0</v>
      </c>
      <c r="F31" s="8">
        <f>'Saisie B2C'!F31+'Saisie B2B'!F31</f>
        <v>0</v>
      </c>
      <c r="G31" s="8">
        <f>'Saisie B2C'!G31+'Saisie B2B'!G31</f>
        <v>0</v>
      </c>
      <c r="H31" s="8">
        <f>'Saisie B2C'!H31+'Saisie B2B'!H31</f>
        <v>0</v>
      </c>
      <c r="I31" s="8">
        <f>'Saisie B2C'!I31+'Saisie B2B'!I31</f>
        <v>0</v>
      </c>
      <c r="J31" s="8">
        <f>'Saisie B2C'!J31+'Saisie B2B'!J31</f>
        <v>0</v>
      </c>
      <c r="K31" s="8">
        <f>'Saisie B2C'!K31+'Saisie B2B'!K31</f>
        <v>0</v>
      </c>
      <c r="L31" s="8">
        <f>'Saisie B2C'!L31+'Saisie B2B'!L31</f>
        <v>0</v>
      </c>
      <c r="M31" s="8">
        <f>'Saisie B2C'!M31+'Saisie B2B'!M31</f>
        <v>0</v>
      </c>
      <c r="N31" s="8">
        <f>'Saisie B2C'!N31+'Saisie B2B'!N31</f>
        <v>0</v>
      </c>
      <c r="O31" s="8">
        <f>'Saisie B2C'!O31+'Saisie B2B'!O31</f>
        <v>0</v>
      </c>
      <c r="P31" s="8">
        <f>'Saisie B2C'!P31+'Saisie B2B'!P31</f>
        <v>0</v>
      </c>
      <c r="Q31" s="8">
        <f>'Saisie B2C'!Q31+'Saisie B2B'!Q31</f>
        <v>0</v>
      </c>
      <c r="R31" s="8">
        <f>'Saisie B2C'!R31+'Saisie B2B'!R31</f>
        <v>0</v>
      </c>
      <c r="S31" s="8">
        <f>'Saisie B2C'!S31+'Saisie B2B'!S31</f>
        <v>0</v>
      </c>
      <c r="T31" s="8">
        <f>'Saisie B2C'!T31+'Saisie B2B'!T31</f>
        <v>0</v>
      </c>
      <c r="U31" s="8">
        <f>'Saisie B2C'!U31+'Saisie B2B'!U31</f>
        <v>0</v>
      </c>
      <c r="V31" s="8">
        <f>'Saisie B2C'!V31+'Saisie B2B'!V31</f>
        <v>0</v>
      </c>
      <c r="W31" s="8">
        <f>'Saisie B2C'!W31+'Saisie B2B'!W31</f>
        <v>0</v>
      </c>
      <c r="X31" s="8">
        <f>'Saisie B2C'!X31+'Saisie B2B'!X31</f>
        <v>0</v>
      </c>
      <c r="Y31" s="8">
        <f>'Saisie B2C'!Y31+'Saisie B2B'!Y31</f>
        <v>0</v>
      </c>
      <c r="Z31" s="8">
        <f>'Saisie B2C'!Z31+'Saisie B2B'!Z31</f>
        <v>0</v>
      </c>
      <c r="AA31" s="8">
        <f>'Saisie B2C'!AA31+'Saisie B2B'!AA31</f>
        <v>0</v>
      </c>
      <c r="AB31" s="8">
        <f>'Saisie B2C'!AB31+'Saisie B2B'!AB31</f>
        <v>0</v>
      </c>
      <c r="AC31" s="8">
        <f>'Saisie B2C'!AC31+'Saisie B2B'!AC31</f>
        <v>0</v>
      </c>
      <c r="AD31" s="8">
        <f>'Saisie B2C'!AD31+'Saisie B2B'!AD31</f>
        <v>0</v>
      </c>
      <c r="AE31" s="8">
        <f>'Saisie B2C'!AE31+'Saisie B2B'!AE31</f>
        <v>0</v>
      </c>
      <c r="AF31" s="8">
        <f>'Saisie B2C'!AF31+'Saisie B2B'!AF31</f>
        <v>0</v>
      </c>
      <c r="AG31" s="8">
        <f>'Saisie B2C'!AG31+'Saisie B2B'!AG31</f>
        <v>0</v>
      </c>
      <c r="AH31" s="8">
        <f>'Saisie B2C'!AH31+'Saisie B2B'!AH31</f>
        <v>0</v>
      </c>
    </row>
    <row r="32" spans="1:34" x14ac:dyDescent="0.45">
      <c r="A32" s="8" t="str">
        <f>'Saisie B2C'!A32</f>
        <v>MIKE</v>
      </c>
      <c r="B32" s="8" t="str">
        <f>'Saisie B2C'!B32</f>
        <v>pvt_rgz_sulrich.ftth</v>
      </c>
      <c r="D32" s="8">
        <f>'Saisie B2C'!D32+'Saisie B2B'!D32</f>
        <v>0</v>
      </c>
      <c r="E32" s="8">
        <f>'Saisie B2C'!E32+'Saisie B2B'!E32</f>
        <v>0</v>
      </c>
      <c r="F32" s="8">
        <f>'Saisie B2C'!F32+'Saisie B2B'!F32</f>
        <v>0</v>
      </c>
      <c r="G32" s="8">
        <f>'Saisie B2C'!G32+'Saisie B2B'!G32</f>
        <v>0</v>
      </c>
      <c r="H32" s="8">
        <f>'Saisie B2C'!H32+'Saisie B2B'!H32</f>
        <v>0</v>
      </c>
      <c r="I32" s="8">
        <f>'Saisie B2C'!I32+'Saisie B2B'!I32</f>
        <v>0</v>
      </c>
      <c r="J32" s="8">
        <f>'Saisie B2C'!J32+'Saisie B2B'!J32</f>
        <v>0</v>
      </c>
      <c r="K32" s="8">
        <f>'Saisie B2C'!K32+'Saisie B2B'!K32</f>
        <v>0</v>
      </c>
      <c r="L32" s="8">
        <f>'Saisie B2C'!L32+'Saisie B2B'!L32</f>
        <v>0</v>
      </c>
      <c r="M32" s="8">
        <f>'Saisie B2C'!M32+'Saisie B2B'!M32</f>
        <v>0</v>
      </c>
      <c r="N32" s="8">
        <f>'Saisie B2C'!N32+'Saisie B2B'!N32</f>
        <v>0</v>
      </c>
      <c r="O32" s="8">
        <f>'Saisie B2C'!O32+'Saisie B2B'!O32</f>
        <v>0</v>
      </c>
      <c r="P32" s="8">
        <f>'Saisie B2C'!P32+'Saisie B2B'!P32</f>
        <v>0</v>
      </c>
      <c r="Q32" s="8">
        <f>'Saisie B2C'!Q32+'Saisie B2B'!Q32</f>
        <v>0</v>
      </c>
      <c r="R32" s="8">
        <f>'Saisie B2C'!R32+'Saisie B2B'!R32</f>
        <v>0</v>
      </c>
      <c r="S32" s="8">
        <f>'Saisie B2C'!S32+'Saisie B2B'!S32</f>
        <v>0</v>
      </c>
      <c r="T32" s="8">
        <f>'Saisie B2C'!T32+'Saisie B2B'!T32</f>
        <v>0</v>
      </c>
      <c r="U32" s="8">
        <f>'Saisie B2C'!U32+'Saisie B2B'!U32</f>
        <v>0</v>
      </c>
      <c r="V32" s="8">
        <f>'Saisie B2C'!V32+'Saisie B2B'!V32</f>
        <v>0</v>
      </c>
      <c r="W32" s="8">
        <f>'Saisie B2C'!W32+'Saisie B2B'!W32</f>
        <v>0</v>
      </c>
      <c r="X32" s="8">
        <f>'Saisie B2C'!X32+'Saisie B2B'!X32</f>
        <v>0</v>
      </c>
      <c r="Y32" s="8">
        <f>'Saisie B2C'!Y32+'Saisie B2B'!Y32</f>
        <v>0</v>
      </c>
      <c r="Z32" s="8">
        <f>'Saisie B2C'!Z32+'Saisie B2B'!Z32</f>
        <v>0</v>
      </c>
      <c r="AA32" s="8">
        <f>'Saisie B2C'!AA32+'Saisie B2B'!AA32</f>
        <v>0</v>
      </c>
      <c r="AB32" s="8">
        <f>'Saisie B2C'!AB32+'Saisie B2B'!AB32</f>
        <v>0</v>
      </c>
      <c r="AC32" s="8">
        <f>'Saisie B2C'!AC32+'Saisie B2B'!AC32</f>
        <v>0</v>
      </c>
      <c r="AD32" s="8">
        <f>'Saisie B2C'!AD32+'Saisie B2B'!AD32</f>
        <v>0</v>
      </c>
      <c r="AE32" s="8">
        <f>'Saisie B2C'!AE32+'Saisie B2B'!AE32</f>
        <v>0</v>
      </c>
      <c r="AF32" s="8">
        <f>'Saisie B2C'!AF32+'Saisie B2B'!AF32</f>
        <v>0</v>
      </c>
      <c r="AG32" s="8">
        <f>'Saisie B2C'!AG32+'Saisie B2B'!AG32</f>
        <v>0</v>
      </c>
      <c r="AH32" s="8">
        <f>'Saisie B2C'!AH32+'Saisie B2B'!AH32</f>
        <v>0</v>
      </c>
    </row>
    <row r="33" spans="1:34" x14ac:dyDescent="0.45">
      <c r="A33" s="8" t="str">
        <f>'Saisie B2C'!A33</f>
        <v>MIKE</v>
      </c>
      <c r="B33" s="8" t="str">
        <f>'Saisie B2C'!B33</f>
        <v>pvt_rgz_hderrick.ftth</v>
      </c>
      <c r="D33" s="8">
        <f>'Saisie B2C'!D33+'Saisie B2B'!D33</f>
        <v>0</v>
      </c>
      <c r="E33" s="8">
        <f>'Saisie B2C'!E33+'Saisie B2B'!E33</f>
        <v>0</v>
      </c>
      <c r="F33" s="8">
        <f>'Saisie B2C'!F33+'Saisie B2B'!F33</f>
        <v>0</v>
      </c>
      <c r="G33" s="8">
        <f>'Saisie B2C'!G33+'Saisie B2B'!G33</f>
        <v>0</v>
      </c>
      <c r="H33" s="8">
        <f>'Saisie B2C'!H33+'Saisie B2B'!H33</f>
        <v>0</v>
      </c>
      <c r="I33" s="8">
        <f>'Saisie B2C'!I33+'Saisie B2B'!I33</f>
        <v>0</v>
      </c>
      <c r="J33" s="8">
        <f>'Saisie B2C'!J33+'Saisie B2B'!J33</f>
        <v>0</v>
      </c>
      <c r="K33" s="8">
        <f>'Saisie B2C'!K33+'Saisie B2B'!K33</f>
        <v>0</v>
      </c>
      <c r="L33" s="8">
        <f>'Saisie B2C'!L33+'Saisie B2B'!L33</f>
        <v>0</v>
      </c>
      <c r="M33" s="8">
        <f>'Saisie B2C'!M33+'Saisie B2B'!M33</f>
        <v>0</v>
      </c>
      <c r="N33" s="8">
        <f>'Saisie B2C'!N33+'Saisie B2B'!N33</f>
        <v>0</v>
      </c>
      <c r="O33" s="8">
        <f>'Saisie B2C'!O33+'Saisie B2B'!O33</f>
        <v>0</v>
      </c>
      <c r="P33" s="8">
        <f>'Saisie B2C'!P33+'Saisie B2B'!P33</f>
        <v>0</v>
      </c>
      <c r="Q33" s="8">
        <f>'Saisie B2C'!Q33+'Saisie B2B'!Q33</f>
        <v>0</v>
      </c>
      <c r="R33" s="8">
        <f>'Saisie B2C'!R33+'Saisie B2B'!R33</f>
        <v>0</v>
      </c>
      <c r="S33" s="8">
        <f>'Saisie B2C'!S33+'Saisie B2B'!S33</f>
        <v>0</v>
      </c>
      <c r="T33" s="8">
        <f>'Saisie B2C'!T33+'Saisie B2B'!T33</f>
        <v>0</v>
      </c>
      <c r="U33" s="8">
        <f>'Saisie B2C'!U33+'Saisie B2B'!U33</f>
        <v>0</v>
      </c>
      <c r="V33" s="8">
        <f>'Saisie B2C'!V33+'Saisie B2B'!V33</f>
        <v>0</v>
      </c>
      <c r="W33" s="8">
        <f>'Saisie B2C'!W33+'Saisie B2B'!W33</f>
        <v>0</v>
      </c>
      <c r="X33" s="8">
        <f>'Saisie B2C'!X33+'Saisie B2B'!X33</f>
        <v>0</v>
      </c>
      <c r="Y33" s="8">
        <f>'Saisie B2C'!Y33+'Saisie B2B'!Y33</f>
        <v>0</v>
      </c>
      <c r="Z33" s="8">
        <f>'Saisie B2C'!Z33+'Saisie B2B'!Z33</f>
        <v>0</v>
      </c>
      <c r="AA33" s="8">
        <f>'Saisie B2C'!AA33+'Saisie B2B'!AA33</f>
        <v>0</v>
      </c>
      <c r="AB33" s="8">
        <f>'Saisie B2C'!AB33+'Saisie B2B'!AB33</f>
        <v>0</v>
      </c>
      <c r="AC33" s="8">
        <f>'Saisie B2C'!AC33+'Saisie B2B'!AC33</f>
        <v>0</v>
      </c>
      <c r="AD33" s="8">
        <f>'Saisie B2C'!AD33+'Saisie B2B'!AD33</f>
        <v>0</v>
      </c>
      <c r="AE33" s="8">
        <f>'Saisie B2C'!AE33+'Saisie B2B'!AE33</f>
        <v>0</v>
      </c>
      <c r="AF33" s="8">
        <f>'Saisie B2C'!AF33+'Saisie B2B'!AF33</f>
        <v>0</v>
      </c>
      <c r="AG33" s="8">
        <f>'Saisie B2C'!AG33+'Saisie B2B'!AG33</f>
        <v>0</v>
      </c>
      <c r="AH33" s="8">
        <f>'Saisie B2C'!AH33+'Saisie B2B'!AH33</f>
        <v>0</v>
      </c>
    </row>
    <row r="34" spans="1:34" x14ac:dyDescent="0.45">
      <c r="A34" s="8" t="str">
        <f>'Saisie B2C'!A34</f>
        <v>MIKE</v>
      </c>
      <c r="B34" s="8" t="str">
        <f>'Saisie B2C'!B34</f>
        <v>pms_rgz_kromeo.ftth</v>
      </c>
      <c r="D34" s="8">
        <f>'Saisie B2C'!D34+'Saisie B2B'!D34</f>
        <v>0</v>
      </c>
      <c r="E34" s="8">
        <f>'Saisie B2C'!E34+'Saisie B2B'!E34</f>
        <v>0</v>
      </c>
      <c r="F34" s="8">
        <f>'Saisie B2C'!F34+'Saisie B2B'!F34</f>
        <v>0</v>
      </c>
      <c r="G34" s="8">
        <f>'Saisie B2C'!G34+'Saisie B2B'!G34</f>
        <v>0</v>
      </c>
      <c r="H34" s="8">
        <f>'Saisie B2C'!H34+'Saisie B2B'!H34</f>
        <v>0</v>
      </c>
      <c r="I34" s="8">
        <f>'Saisie B2C'!I34+'Saisie B2B'!I34</f>
        <v>0</v>
      </c>
      <c r="J34" s="8">
        <f>'Saisie B2C'!J34+'Saisie B2B'!J34</f>
        <v>0</v>
      </c>
      <c r="K34" s="8">
        <f>'Saisie B2C'!K34+'Saisie B2B'!K34</f>
        <v>0</v>
      </c>
      <c r="L34" s="8">
        <f>'Saisie B2C'!L34+'Saisie B2B'!L34</f>
        <v>0</v>
      </c>
      <c r="M34" s="8">
        <f>'Saisie B2C'!M34+'Saisie B2B'!M34</f>
        <v>0</v>
      </c>
      <c r="N34" s="8">
        <f>'Saisie B2C'!N34+'Saisie B2B'!N34</f>
        <v>0</v>
      </c>
      <c r="O34" s="8">
        <f>'Saisie B2C'!O34+'Saisie B2B'!O34</f>
        <v>0</v>
      </c>
      <c r="P34" s="8">
        <f>'Saisie B2C'!P34+'Saisie B2B'!P34</f>
        <v>0</v>
      </c>
      <c r="Q34" s="8">
        <f>'Saisie B2C'!Q34+'Saisie B2B'!Q34</f>
        <v>0</v>
      </c>
      <c r="R34" s="8">
        <f>'Saisie B2C'!R34+'Saisie B2B'!R34</f>
        <v>0</v>
      </c>
      <c r="S34" s="8">
        <f>'Saisie B2C'!S34+'Saisie B2B'!S34</f>
        <v>0</v>
      </c>
      <c r="T34" s="8">
        <f>'Saisie B2C'!T34+'Saisie B2B'!T34</f>
        <v>0</v>
      </c>
      <c r="U34" s="8">
        <f>'Saisie B2C'!U34+'Saisie B2B'!U34</f>
        <v>0</v>
      </c>
      <c r="V34" s="8">
        <f>'Saisie B2C'!V34+'Saisie B2B'!V34</f>
        <v>0</v>
      </c>
      <c r="W34" s="8">
        <f>'Saisie B2C'!W34+'Saisie B2B'!W34</f>
        <v>0</v>
      </c>
      <c r="X34" s="8">
        <f>'Saisie B2C'!X34+'Saisie B2B'!X34</f>
        <v>0</v>
      </c>
      <c r="Y34" s="8">
        <f>'Saisie B2C'!Y34+'Saisie B2B'!Y34</f>
        <v>0</v>
      </c>
      <c r="Z34" s="8">
        <f>'Saisie B2C'!Z34+'Saisie B2B'!Z34</f>
        <v>0</v>
      </c>
      <c r="AA34" s="8">
        <f>'Saisie B2C'!AA34+'Saisie B2B'!AA34</f>
        <v>0</v>
      </c>
      <c r="AB34" s="8">
        <f>'Saisie B2C'!AB34+'Saisie B2B'!AB34</f>
        <v>0</v>
      </c>
      <c r="AC34" s="8">
        <f>'Saisie B2C'!AC34+'Saisie B2B'!AC34</f>
        <v>0</v>
      </c>
      <c r="AD34" s="8">
        <f>'Saisie B2C'!AD34+'Saisie B2B'!AD34</f>
        <v>0</v>
      </c>
      <c r="AE34" s="8">
        <f>'Saisie B2C'!AE34+'Saisie B2B'!AE34</f>
        <v>0</v>
      </c>
      <c r="AF34" s="8">
        <f>'Saisie B2C'!AF34+'Saisie B2B'!AF34</f>
        <v>0</v>
      </c>
      <c r="AG34" s="8">
        <f>'Saisie B2C'!AG34+'Saisie B2B'!AG34</f>
        <v>0</v>
      </c>
      <c r="AH34" s="8">
        <f>'Saisie B2C'!AH34+'Saisie B2B'!AH34</f>
        <v>0</v>
      </c>
    </row>
    <row r="35" spans="1:34" x14ac:dyDescent="0.45">
      <c r="A35" s="8" t="str">
        <f>'Saisie B2C'!A35</f>
        <v>ANONYMAT</v>
      </c>
      <c r="B35" s="8" t="str">
        <f>'Saisie B2C'!B35</f>
        <v>pvt_rgz_gprince.ftth</v>
      </c>
      <c r="D35" s="8">
        <f>'Saisie B2C'!D35+'Saisie B2B'!D35</f>
        <v>0</v>
      </c>
      <c r="E35" s="8">
        <f>'Saisie B2C'!E35+'Saisie B2B'!E35</f>
        <v>0</v>
      </c>
      <c r="F35" s="8">
        <f>'Saisie B2C'!F35+'Saisie B2B'!F35</f>
        <v>0</v>
      </c>
      <c r="G35" s="8">
        <f>'Saisie B2C'!G35+'Saisie B2B'!G35</f>
        <v>0</v>
      </c>
      <c r="H35" s="8">
        <f>'Saisie B2C'!H35+'Saisie B2B'!H35</f>
        <v>0</v>
      </c>
      <c r="I35" s="8">
        <f>'Saisie B2C'!I35+'Saisie B2B'!I35</f>
        <v>0</v>
      </c>
      <c r="J35" s="8">
        <f>'Saisie B2C'!J35+'Saisie B2B'!J35</f>
        <v>0</v>
      </c>
      <c r="K35" s="8">
        <f>'Saisie B2C'!K35+'Saisie B2B'!K35</f>
        <v>0</v>
      </c>
      <c r="L35" s="8">
        <f>'Saisie B2C'!L35+'Saisie B2B'!L35</f>
        <v>0</v>
      </c>
      <c r="M35" s="8">
        <f>'Saisie B2C'!M35+'Saisie B2B'!M35</f>
        <v>0</v>
      </c>
      <c r="N35" s="8">
        <f>'Saisie B2C'!N35+'Saisie B2B'!N35</f>
        <v>0</v>
      </c>
      <c r="O35" s="8">
        <f>'Saisie B2C'!O35+'Saisie B2B'!O35</f>
        <v>0</v>
      </c>
      <c r="P35" s="8">
        <f>'Saisie B2C'!P35+'Saisie B2B'!P35</f>
        <v>0</v>
      </c>
      <c r="Q35" s="8">
        <f>'Saisie B2C'!Q35+'Saisie B2B'!Q35</f>
        <v>0</v>
      </c>
      <c r="R35" s="8">
        <f>'Saisie B2C'!R35+'Saisie B2B'!R35</f>
        <v>0</v>
      </c>
      <c r="S35" s="8">
        <f>'Saisie B2C'!S35+'Saisie B2B'!S35</f>
        <v>0</v>
      </c>
      <c r="T35" s="8">
        <f>'Saisie B2C'!T35+'Saisie B2B'!T35</f>
        <v>0</v>
      </c>
      <c r="U35" s="8">
        <f>'Saisie B2C'!U35+'Saisie B2B'!U35</f>
        <v>0</v>
      </c>
      <c r="V35" s="8">
        <f>'Saisie B2C'!V35+'Saisie B2B'!V35</f>
        <v>0</v>
      </c>
      <c r="W35" s="8">
        <f>'Saisie B2C'!W35+'Saisie B2B'!W35</f>
        <v>0</v>
      </c>
      <c r="X35" s="8">
        <f>'Saisie B2C'!X35+'Saisie B2B'!X35</f>
        <v>0</v>
      </c>
      <c r="Y35" s="8">
        <f>'Saisie B2C'!Y35+'Saisie B2B'!Y35</f>
        <v>0</v>
      </c>
      <c r="Z35" s="8">
        <f>'Saisie B2C'!Z35+'Saisie B2B'!Z35</f>
        <v>0</v>
      </c>
      <c r="AA35" s="8">
        <f>'Saisie B2C'!AA35+'Saisie B2B'!AA35</f>
        <v>0</v>
      </c>
      <c r="AB35" s="8">
        <f>'Saisie B2C'!AB35+'Saisie B2B'!AB35</f>
        <v>0</v>
      </c>
      <c r="AC35" s="8">
        <f>'Saisie B2C'!AC35+'Saisie B2B'!AC35</f>
        <v>0</v>
      </c>
      <c r="AD35" s="8">
        <f>'Saisie B2C'!AD35+'Saisie B2B'!AD35</f>
        <v>0</v>
      </c>
      <c r="AE35" s="8">
        <f>'Saisie B2C'!AE35+'Saisie B2B'!AE35</f>
        <v>0</v>
      </c>
      <c r="AF35" s="8">
        <f>'Saisie B2C'!AF35+'Saisie B2B'!AF35</f>
        <v>0</v>
      </c>
      <c r="AG35" s="8">
        <f>'Saisie B2C'!AG35+'Saisie B2B'!AG35</f>
        <v>0</v>
      </c>
      <c r="AH35" s="8">
        <f>'Saisie B2C'!AH35+'Saisie B2B'!AH35</f>
        <v>0</v>
      </c>
    </row>
    <row r="36" spans="1:34" x14ac:dyDescent="0.45">
      <c r="A36" s="8" t="str">
        <f>'Saisie B2C'!A36</f>
        <v>ANONYMAT</v>
      </c>
      <c r="B36" s="8" t="str">
        <f>'Saisie B2C'!B36</f>
        <v>pvt_rgz_akoffi.ftth</v>
      </c>
      <c r="D36" s="8">
        <f>'Saisie B2C'!D36+'Saisie B2B'!D36</f>
        <v>0</v>
      </c>
      <c r="E36" s="8">
        <f>'Saisie B2C'!E36+'Saisie B2B'!E36</f>
        <v>0</v>
      </c>
      <c r="F36" s="8">
        <f>'Saisie B2C'!F36+'Saisie B2B'!F36</f>
        <v>0</v>
      </c>
      <c r="G36" s="8">
        <f>'Saisie B2C'!G36+'Saisie B2B'!G36</f>
        <v>0</v>
      </c>
      <c r="H36" s="8">
        <f>'Saisie B2C'!H36+'Saisie B2B'!H36</f>
        <v>0</v>
      </c>
      <c r="I36" s="8">
        <f>'Saisie B2C'!I36+'Saisie B2B'!I36</f>
        <v>0</v>
      </c>
      <c r="J36" s="8">
        <f>'Saisie B2C'!J36+'Saisie B2B'!J36</f>
        <v>0</v>
      </c>
      <c r="K36" s="8">
        <f>'Saisie B2C'!K36+'Saisie B2B'!K36</f>
        <v>0</v>
      </c>
      <c r="L36" s="8">
        <f>'Saisie B2C'!L36+'Saisie B2B'!L36</f>
        <v>0</v>
      </c>
      <c r="M36" s="8">
        <f>'Saisie B2C'!M36+'Saisie B2B'!M36</f>
        <v>0</v>
      </c>
      <c r="N36" s="8">
        <f>'Saisie B2C'!N36+'Saisie B2B'!N36</f>
        <v>0</v>
      </c>
      <c r="O36" s="8">
        <f>'Saisie B2C'!O36+'Saisie B2B'!O36</f>
        <v>0</v>
      </c>
      <c r="P36" s="8">
        <f>'Saisie B2C'!P36+'Saisie B2B'!P36</f>
        <v>0</v>
      </c>
      <c r="Q36" s="8">
        <f>'Saisie B2C'!Q36+'Saisie B2B'!Q36</f>
        <v>0</v>
      </c>
      <c r="R36" s="8">
        <f>'Saisie B2C'!R36+'Saisie B2B'!R36</f>
        <v>0</v>
      </c>
      <c r="S36" s="8">
        <f>'Saisie B2C'!S36+'Saisie B2B'!S36</f>
        <v>0</v>
      </c>
      <c r="T36" s="8">
        <f>'Saisie B2C'!T36+'Saisie B2B'!T36</f>
        <v>0</v>
      </c>
      <c r="U36" s="8">
        <f>'Saisie B2C'!U36+'Saisie B2B'!U36</f>
        <v>0</v>
      </c>
      <c r="V36" s="8">
        <f>'Saisie B2C'!V36+'Saisie B2B'!V36</f>
        <v>0</v>
      </c>
      <c r="W36" s="8">
        <f>'Saisie B2C'!W36+'Saisie B2B'!W36</f>
        <v>0</v>
      </c>
      <c r="X36" s="8">
        <f>'Saisie B2C'!X36+'Saisie B2B'!X36</f>
        <v>0</v>
      </c>
      <c r="Y36" s="8">
        <f>'Saisie B2C'!Y36+'Saisie B2B'!Y36</f>
        <v>0</v>
      </c>
      <c r="Z36" s="8">
        <f>'Saisie B2C'!Z36+'Saisie B2B'!Z36</f>
        <v>0</v>
      </c>
      <c r="AA36" s="8">
        <f>'Saisie B2C'!AA36+'Saisie B2B'!AA36</f>
        <v>0</v>
      </c>
      <c r="AB36" s="8">
        <f>'Saisie B2C'!AB36+'Saisie B2B'!AB36</f>
        <v>0</v>
      </c>
      <c r="AC36" s="8">
        <f>'Saisie B2C'!AC36+'Saisie B2B'!AC36</f>
        <v>0</v>
      </c>
      <c r="AD36" s="8">
        <f>'Saisie B2C'!AD36+'Saisie B2B'!AD36</f>
        <v>0</v>
      </c>
      <c r="AE36" s="8">
        <f>'Saisie B2C'!AE36+'Saisie B2B'!AE36</f>
        <v>0</v>
      </c>
      <c r="AF36" s="8">
        <f>'Saisie B2C'!AF36+'Saisie B2B'!AF36</f>
        <v>0</v>
      </c>
      <c r="AG36" s="8">
        <f>'Saisie B2C'!AG36+'Saisie B2B'!AG36</f>
        <v>0</v>
      </c>
      <c r="AH36" s="8">
        <f>'Saisie B2C'!AH36+'Saisie B2B'!AH36</f>
        <v>0</v>
      </c>
    </row>
    <row r="37" spans="1:34" x14ac:dyDescent="0.45">
      <c r="A37" s="8" t="str">
        <f>'Saisie B2C'!A37</f>
        <v>ANONYMAT</v>
      </c>
      <c r="B37" s="8" t="str">
        <f>'Saisie B2C'!B37</f>
        <v>pvt_rgz_agado.ftth</v>
      </c>
      <c r="D37" s="8">
        <f>'Saisie B2C'!D37+'Saisie B2B'!D37</f>
        <v>0</v>
      </c>
      <c r="E37" s="8">
        <f>'Saisie B2C'!E37+'Saisie B2B'!E37</f>
        <v>0</v>
      </c>
      <c r="F37" s="8">
        <f>'Saisie B2C'!F37+'Saisie B2B'!F37</f>
        <v>0</v>
      </c>
      <c r="G37" s="8">
        <f>'Saisie B2C'!G37+'Saisie B2B'!G37</f>
        <v>0</v>
      </c>
      <c r="H37" s="8">
        <f>'Saisie B2C'!H37+'Saisie B2B'!H37</f>
        <v>0</v>
      </c>
      <c r="I37" s="8">
        <f>'Saisie B2C'!I37+'Saisie B2B'!I37</f>
        <v>0</v>
      </c>
      <c r="J37" s="8">
        <f>'Saisie B2C'!J37+'Saisie B2B'!J37</f>
        <v>0</v>
      </c>
      <c r="K37" s="8">
        <f>'Saisie B2C'!K37+'Saisie B2B'!K37</f>
        <v>0</v>
      </c>
      <c r="L37" s="8">
        <f>'Saisie B2C'!L37+'Saisie B2B'!L37</f>
        <v>0</v>
      </c>
      <c r="M37" s="8">
        <f>'Saisie B2C'!M37+'Saisie B2B'!M37</f>
        <v>0</v>
      </c>
      <c r="N37" s="8">
        <f>'Saisie B2C'!N37+'Saisie B2B'!N37</f>
        <v>0</v>
      </c>
      <c r="O37" s="8">
        <f>'Saisie B2C'!O37+'Saisie B2B'!O37</f>
        <v>0</v>
      </c>
      <c r="P37" s="8">
        <f>'Saisie B2C'!P37+'Saisie B2B'!P37</f>
        <v>0</v>
      </c>
      <c r="Q37" s="8">
        <f>'Saisie B2C'!Q37+'Saisie B2B'!Q37</f>
        <v>0</v>
      </c>
      <c r="R37" s="8">
        <f>'Saisie B2C'!R37+'Saisie B2B'!R37</f>
        <v>0</v>
      </c>
      <c r="S37" s="8">
        <f>'Saisie B2C'!S37+'Saisie B2B'!S37</f>
        <v>0</v>
      </c>
      <c r="T37" s="8">
        <f>'Saisie B2C'!T37+'Saisie B2B'!T37</f>
        <v>0</v>
      </c>
      <c r="U37" s="8">
        <f>'Saisie B2C'!U37+'Saisie B2B'!U37</f>
        <v>0</v>
      </c>
      <c r="V37" s="8">
        <f>'Saisie B2C'!V37+'Saisie B2B'!V37</f>
        <v>0</v>
      </c>
      <c r="W37" s="8">
        <f>'Saisie B2C'!W37+'Saisie B2B'!W37</f>
        <v>0</v>
      </c>
      <c r="X37" s="8">
        <f>'Saisie B2C'!X37+'Saisie B2B'!X37</f>
        <v>0</v>
      </c>
      <c r="Y37" s="8">
        <f>'Saisie B2C'!Y37+'Saisie B2B'!Y37</f>
        <v>0</v>
      </c>
      <c r="Z37" s="8">
        <f>'Saisie B2C'!Z37+'Saisie B2B'!Z37</f>
        <v>0</v>
      </c>
      <c r="AA37" s="8">
        <f>'Saisie B2C'!AA37+'Saisie B2B'!AA37</f>
        <v>0</v>
      </c>
      <c r="AB37" s="8">
        <f>'Saisie B2C'!AB37+'Saisie B2B'!AB37</f>
        <v>0</v>
      </c>
      <c r="AC37" s="8">
        <f>'Saisie B2C'!AC37+'Saisie B2B'!AC37</f>
        <v>0</v>
      </c>
      <c r="AD37" s="8">
        <f>'Saisie B2C'!AD37+'Saisie B2B'!AD37</f>
        <v>0</v>
      </c>
      <c r="AE37" s="8">
        <f>'Saisie B2C'!AE37+'Saisie B2B'!AE37</f>
        <v>0</v>
      </c>
      <c r="AF37" s="8">
        <f>'Saisie B2C'!AF37+'Saisie B2B'!AF37</f>
        <v>0</v>
      </c>
      <c r="AG37" s="8">
        <f>'Saisie B2C'!AG37+'Saisie B2B'!AG37</f>
        <v>0</v>
      </c>
      <c r="AH37" s="8">
        <f>'Saisie B2C'!AH37+'Saisie B2B'!AH37</f>
        <v>0</v>
      </c>
    </row>
    <row r="38" spans="1:34" x14ac:dyDescent="0.45">
      <c r="A38" s="8" t="str">
        <f>'Saisie B2C'!A38</f>
        <v>ANONYMAT</v>
      </c>
      <c r="B38" s="8" t="str">
        <f>'Saisie B2C'!B38</f>
        <v>pvt_rgz_lcedric.ftth</v>
      </c>
      <c r="D38" s="8">
        <f>'Saisie B2C'!D38+'Saisie B2B'!D38</f>
        <v>0</v>
      </c>
      <c r="E38" s="8">
        <f>'Saisie B2C'!E38+'Saisie B2B'!E38</f>
        <v>0</v>
      </c>
      <c r="F38" s="8">
        <f>'Saisie B2C'!F38+'Saisie B2B'!F38</f>
        <v>0</v>
      </c>
      <c r="G38" s="8">
        <f>'Saisie B2C'!G38+'Saisie B2B'!G38</f>
        <v>0</v>
      </c>
      <c r="H38" s="8">
        <f>'Saisie B2C'!H38+'Saisie B2B'!H38</f>
        <v>0</v>
      </c>
      <c r="I38" s="8">
        <f>'Saisie B2C'!I38+'Saisie B2B'!I38</f>
        <v>0</v>
      </c>
      <c r="J38" s="8">
        <f>'Saisie B2C'!J38+'Saisie B2B'!J38</f>
        <v>0</v>
      </c>
      <c r="K38" s="8">
        <f>'Saisie B2C'!K38+'Saisie B2B'!K38</f>
        <v>0</v>
      </c>
      <c r="L38" s="8">
        <f>'Saisie B2C'!L38+'Saisie B2B'!L38</f>
        <v>0</v>
      </c>
      <c r="M38" s="8">
        <f>'Saisie B2C'!M38+'Saisie B2B'!M38</f>
        <v>0</v>
      </c>
      <c r="N38" s="8">
        <f>'Saisie B2C'!N38+'Saisie B2B'!N38</f>
        <v>0</v>
      </c>
      <c r="O38" s="8">
        <f>'Saisie B2C'!O38+'Saisie B2B'!O38</f>
        <v>0</v>
      </c>
      <c r="P38" s="8">
        <f>'Saisie B2C'!P38+'Saisie B2B'!P38</f>
        <v>0</v>
      </c>
      <c r="Q38" s="8">
        <f>'Saisie B2C'!Q38+'Saisie B2B'!Q38</f>
        <v>0</v>
      </c>
      <c r="R38" s="8">
        <f>'Saisie B2C'!R38+'Saisie B2B'!R38</f>
        <v>0</v>
      </c>
      <c r="S38" s="8">
        <f>'Saisie B2C'!S38+'Saisie B2B'!S38</f>
        <v>0</v>
      </c>
      <c r="T38" s="8">
        <f>'Saisie B2C'!T38+'Saisie B2B'!T38</f>
        <v>0</v>
      </c>
      <c r="U38" s="8">
        <f>'Saisie B2C'!U38+'Saisie B2B'!U38</f>
        <v>0</v>
      </c>
      <c r="V38" s="8">
        <f>'Saisie B2C'!V38+'Saisie B2B'!V38</f>
        <v>0</v>
      </c>
      <c r="W38" s="8">
        <f>'Saisie B2C'!W38+'Saisie B2B'!W38</f>
        <v>0</v>
      </c>
      <c r="X38" s="8">
        <f>'Saisie B2C'!X38+'Saisie B2B'!X38</f>
        <v>0</v>
      </c>
      <c r="Y38" s="8">
        <f>'Saisie B2C'!Y38+'Saisie B2B'!Y38</f>
        <v>0</v>
      </c>
      <c r="Z38" s="8">
        <f>'Saisie B2C'!Z38+'Saisie B2B'!Z38</f>
        <v>0</v>
      </c>
      <c r="AA38" s="8">
        <f>'Saisie B2C'!AA38+'Saisie B2B'!AA38</f>
        <v>0</v>
      </c>
      <c r="AB38" s="8">
        <f>'Saisie B2C'!AB38+'Saisie B2B'!AB38</f>
        <v>0</v>
      </c>
      <c r="AC38" s="8">
        <f>'Saisie B2C'!AC38+'Saisie B2B'!AC38</f>
        <v>0</v>
      </c>
      <c r="AD38" s="8">
        <f>'Saisie B2C'!AD38+'Saisie B2B'!AD38</f>
        <v>0</v>
      </c>
      <c r="AE38" s="8">
        <f>'Saisie B2C'!AE38+'Saisie B2B'!AE38</f>
        <v>0</v>
      </c>
      <c r="AF38" s="8">
        <f>'Saisie B2C'!AF38+'Saisie B2B'!AF38</f>
        <v>0</v>
      </c>
      <c r="AG38" s="8">
        <f>'Saisie B2C'!AG38+'Saisie B2B'!AG38</f>
        <v>0</v>
      </c>
      <c r="AH38" s="8">
        <f>'Saisie B2C'!AH38+'Saisie B2B'!AH38</f>
        <v>0</v>
      </c>
    </row>
    <row r="39" spans="1:34" x14ac:dyDescent="0.45">
      <c r="A39" s="8" t="str">
        <f>'Saisie B2C'!A39</f>
        <v>CONCORDE</v>
      </c>
      <c r="B39" s="8" t="str">
        <f>'Saisie B2C'!B39</f>
        <v>pvt_rgz_kbernadin.ftth</v>
      </c>
      <c r="D39" s="8">
        <f>'Saisie B2C'!D39+'Saisie B2B'!D39</f>
        <v>0</v>
      </c>
      <c r="E39" s="8">
        <f>'Saisie B2C'!E39+'Saisie B2B'!E39</f>
        <v>0</v>
      </c>
      <c r="F39" s="8">
        <f>'Saisie B2C'!F39+'Saisie B2B'!F39</f>
        <v>0</v>
      </c>
      <c r="G39" s="8">
        <f>'Saisie B2C'!G39+'Saisie B2B'!G39</f>
        <v>0</v>
      </c>
      <c r="H39" s="8">
        <f>'Saisie B2C'!H39+'Saisie B2B'!H39</f>
        <v>0</v>
      </c>
      <c r="I39" s="8">
        <f>'Saisie B2C'!I39+'Saisie B2B'!I39</f>
        <v>0</v>
      </c>
      <c r="J39" s="8">
        <f>'Saisie B2C'!J39+'Saisie B2B'!J39</f>
        <v>0</v>
      </c>
      <c r="K39" s="8">
        <f>'Saisie B2C'!K39+'Saisie B2B'!K39</f>
        <v>0</v>
      </c>
      <c r="L39" s="8">
        <f>'Saisie B2C'!L39+'Saisie B2B'!L39</f>
        <v>0</v>
      </c>
      <c r="M39" s="8">
        <f>'Saisie B2C'!M39+'Saisie B2B'!M39</f>
        <v>0</v>
      </c>
      <c r="N39" s="8">
        <f>'Saisie B2C'!N39+'Saisie B2B'!N39</f>
        <v>0</v>
      </c>
      <c r="O39" s="8">
        <f>'Saisie B2C'!O39+'Saisie B2B'!O39</f>
        <v>0</v>
      </c>
      <c r="P39" s="8">
        <f>'Saisie B2C'!P39+'Saisie B2B'!P39</f>
        <v>0</v>
      </c>
      <c r="Q39" s="8">
        <f>'Saisie B2C'!Q39+'Saisie B2B'!Q39</f>
        <v>0</v>
      </c>
      <c r="R39" s="8">
        <f>'Saisie B2C'!R39+'Saisie B2B'!R39</f>
        <v>0</v>
      </c>
      <c r="S39" s="8">
        <f>'Saisie B2C'!S39+'Saisie B2B'!S39</f>
        <v>0</v>
      </c>
      <c r="T39" s="8">
        <f>'Saisie B2C'!T39+'Saisie B2B'!T39</f>
        <v>0</v>
      </c>
      <c r="U39" s="8">
        <f>'Saisie B2C'!U39+'Saisie B2B'!U39</f>
        <v>0</v>
      </c>
      <c r="V39" s="8">
        <f>'Saisie B2C'!V39+'Saisie B2B'!V39</f>
        <v>0</v>
      </c>
      <c r="W39" s="8">
        <f>'Saisie B2C'!W39+'Saisie B2B'!W39</f>
        <v>0</v>
      </c>
      <c r="X39" s="8">
        <f>'Saisie B2C'!X39+'Saisie B2B'!X39</f>
        <v>0</v>
      </c>
      <c r="Y39" s="8">
        <f>'Saisie B2C'!Y39+'Saisie B2B'!Y39</f>
        <v>0</v>
      </c>
      <c r="Z39" s="8">
        <f>'Saisie B2C'!Z39+'Saisie B2B'!Z39</f>
        <v>0</v>
      </c>
      <c r="AA39" s="8">
        <f>'Saisie B2C'!AA39+'Saisie B2B'!AA39</f>
        <v>0</v>
      </c>
      <c r="AB39" s="8">
        <f>'Saisie B2C'!AB39+'Saisie B2B'!AB39</f>
        <v>0</v>
      </c>
      <c r="AC39" s="8">
        <f>'Saisie B2C'!AC39+'Saisie B2B'!AC39</f>
        <v>0</v>
      </c>
      <c r="AD39" s="8">
        <f>'Saisie B2C'!AD39+'Saisie B2B'!AD39</f>
        <v>0</v>
      </c>
      <c r="AE39" s="8">
        <f>'Saisie B2C'!AE39+'Saisie B2B'!AE39</f>
        <v>0</v>
      </c>
      <c r="AF39" s="8">
        <f>'Saisie B2C'!AF39+'Saisie B2B'!AF39</f>
        <v>0</v>
      </c>
      <c r="AG39" s="8">
        <f>'Saisie B2C'!AG39+'Saisie B2B'!AG39</f>
        <v>0</v>
      </c>
      <c r="AH39" s="8">
        <f>'Saisie B2C'!AH39+'Saisie B2B'!AH39</f>
        <v>0</v>
      </c>
    </row>
    <row r="40" spans="1:34" x14ac:dyDescent="0.45">
      <c r="A40" s="8" t="str">
        <f>'Saisie B2C'!A40</f>
        <v>CONCORDE</v>
      </c>
      <c r="B40" s="8" t="str">
        <f>'Saisie B2C'!B40</f>
        <v>pms_rgz_cmerveille.ftth</v>
      </c>
      <c r="D40" s="8">
        <f>'Saisie B2C'!D40+'Saisie B2B'!D40</f>
        <v>0</v>
      </c>
      <c r="E40" s="8">
        <f>'Saisie B2C'!E40+'Saisie B2B'!E40</f>
        <v>0</v>
      </c>
      <c r="F40" s="8">
        <f>'Saisie B2C'!F40+'Saisie B2B'!F40</f>
        <v>0</v>
      </c>
      <c r="G40" s="8">
        <f>'Saisie B2C'!G40+'Saisie B2B'!G40</f>
        <v>0</v>
      </c>
      <c r="H40" s="8">
        <f>'Saisie B2C'!H40+'Saisie B2B'!H40</f>
        <v>0</v>
      </c>
      <c r="I40" s="8">
        <f>'Saisie B2C'!I40+'Saisie B2B'!I40</f>
        <v>0</v>
      </c>
      <c r="J40" s="8">
        <f>'Saisie B2C'!J40+'Saisie B2B'!J40</f>
        <v>0</v>
      </c>
      <c r="K40" s="8">
        <f>'Saisie B2C'!K40+'Saisie B2B'!K40</f>
        <v>0</v>
      </c>
      <c r="L40" s="8">
        <f>'Saisie B2C'!L40+'Saisie B2B'!L40</f>
        <v>0</v>
      </c>
      <c r="M40" s="8">
        <f>'Saisie B2C'!M40+'Saisie B2B'!M40</f>
        <v>0</v>
      </c>
      <c r="N40" s="8">
        <f>'Saisie B2C'!N40+'Saisie B2B'!N40</f>
        <v>0</v>
      </c>
      <c r="O40" s="8">
        <f>'Saisie B2C'!O40+'Saisie B2B'!O40</f>
        <v>0</v>
      </c>
      <c r="P40" s="8">
        <f>'Saisie B2C'!P40+'Saisie B2B'!P40</f>
        <v>0</v>
      </c>
      <c r="Q40" s="8">
        <f>'Saisie B2C'!Q40+'Saisie B2B'!Q40</f>
        <v>0</v>
      </c>
      <c r="R40" s="8">
        <f>'Saisie B2C'!R40+'Saisie B2B'!R40</f>
        <v>0</v>
      </c>
      <c r="S40" s="8">
        <f>'Saisie B2C'!S40+'Saisie B2B'!S40</f>
        <v>0</v>
      </c>
      <c r="T40" s="8">
        <f>'Saisie B2C'!T40+'Saisie B2B'!T40</f>
        <v>0</v>
      </c>
      <c r="U40" s="8">
        <f>'Saisie B2C'!U40+'Saisie B2B'!U40</f>
        <v>0</v>
      </c>
      <c r="V40" s="8">
        <f>'Saisie B2C'!V40+'Saisie B2B'!V40</f>
        <v>0</v>
      </c>
      <c r="W40" s="8">
        <f>'Saisie B2C'!W40+'Saisie B2B'!W40</f>
        <v>0</v>
      </c>
      <c r="X40" s="8">
        <f>'Saisie B2C'!X40+'Saisie B2B'!X40</f>
        <v>0</v>
      </c>
      <c r="Y40" s="8">
        <f>'Saisie B2C'!Y40+'Saisie B2B'!Y40</f>
        <v>0</v>
      </c>
      <c r="Z40" s="8">
        <f>'Saisie B2C'!Z40+'Saisie B2B'!Z40</f>
        <v>0</v>
      </c>
      <c r="AA40" s="8">
        <f>'Saisie B2C'!AA40+'Saisie B2B'!AA40</f>
        <v>0</v>
      </c>
      <c r="AB40" s="8">
        <f>'Saisie B2C'!AB40+'Saisie B2B'!AB40</f>
        <v>0</v>
      </c>
      <c r="AC40" s="8">
        <f>'Saisie B2C'!AC40+'Saisie B2B'!AC40</f>
        <v>0</v>
      </c>
      <c r="AD40" s="8">
        <f>'Saisie B2C'!AD40+'Saisie B2B'!AD40</f>
        <v>0</v>
      </c>
      <c r="AE40" s="8">
        <f>'Saisie B2C'!AE40+'Saisie B2B'!AE40</f>
        <v>0</v>
      </c>
      <c r="AF40" s="8">
        <f>'Saisie B2C'!AF40+'Saisie B2B'!AF40</f>
        <v>0</v>
      </c>
      <c r="AG40" s="8">
        <f>'Saisie B2C'!AG40+'Saisie B2B'!AG40</f>
        <v>0</v>
      </c>
      <c r="AH40" s="8">
        <f>'Saisie B2C'!AH40+'Saisie B2B'!AH40</f>
        <v>0</v>
      </c>
    </row>
    <row r="41" spans="1:34" x14ac:dyDescent="0.45">
      <c r="A41" s="8" t="str">
        <f>'Saisie B2C'!A41</f>
        <v>CONCORDE</v>
      </c>
      <c r="B41" s="8" t="str">
        <f>'Saisie B2C'!B41</f>
        <v>pvt_rgz_kadebayo.ftth</v>
      </c>
      <c r="D41" s="8">
        <f>'Saisie B2C'!D41+'Saisie B2B'!D41</f>
        <v>0</v>
      </c>
      <c r="E41" s="8">
        <f>'Saisie B2C'!E41+'Saisie B2B'!E41</f>
        <v>0</v>
      </c>
      <c r="F41" s="8">
        <f>'Saisie B2C'!F41+'Saisie B2B'!F41</f>
        <v>0</v>
      </c>
      <c r="G41" s="8">
        <f>'Saisie B2C'!G41+'Saisie B2B'!G41</f>
        <v>0</v>
      </c>
      <c r="H41" s="8">
        <f>'Saisie B2C'!H41+'Saisie B2B'!H41</f>
        <v>0</v>
      </c>
      <c r="I41" s="8">
        <f>'Saisie B2C'!I41+'Saisie B2B'!I41</f>
        <v>0</v>
      </c>
      <c r="J41" s="8">
        <f>'Saisie B2C'!J41+'Saisie B2B'!J41</f>
        <v>0</v>
      </c>
      <c r="K41" s="8">
        <f>'Saisie B2C'!K41+'Saisie B2B'!K41</f>
        <v>0</v>
      </c>
      <c r="L41" s="8">
        <f>'Saisie B2C'!L41+'Saisie B2B'!L41</f>
        <v>0</v>
      </c>
      <c r="M41" s="8">
        <f>'Saisie B2C'!M41+'Saisie B2B'!M41</f>
        <v>0</v>
      </c>
      <c r="N41" s="8">
        <f>'Saisie B2C'!N41+'Saisie B2B'!N41</f>
        <v>0</v>
      </c>
      <c r="O41" s="8">
        <f>'Saisie B2C'!O41+'Saisie B2B'!O41</f>
        <v>0</v>
      </c>
      <c r="P41" s="8">
        <f>'Saisie B2C'!P41+'Saisie B2B'!P41</f>
        <v>0</v>
      </c>
      <c r="Q41" s="8">
        <f>'Saisie B2C'!Q41+'Saisie B2B'!Q41</f>
        <v>0</v>
      </c>
      <c r="R41" s="8">
        <f>'Saisie B2C'!R41+'Saisie B2B'!R41</f>
        <v>0</v>
      </c>
      <c r="S41" s="8">
        <f>'Saisie B2C'!S41+'Saisie B2B'!S41</f>
        <v>0</v>
      </c>
      <c r="T41" s="8">
        <f>'Saisie B2C'!T41+'Saisie B2B'!T41</f>
        <v>0</v>
      </c>
      <c r="U41" s="8">
        <f>'Saisie B2C'!U41+'Saisie B2B'!U41</f>
        <v>0</v>
      </c>
      <c r="V41" s="8">
        <f>'Saisie B2C'!V41+'Saisie B2B'!V41</f>
        <v>0</v>
      </c>
      <c r="W41" s="8">
        <f>'Saisie B2C'!W41+'Saisie B2B'!W41</f>
        <v>0</v>
      </c>
      <c r="X41" s="8">
        <f>'Saisie B2C'!X41+'Saisie B2B'!X41</f>
        <v>0</v>
      </c>
      <c r="Y41" s="8">
        <f>'Saisie B2C'!Y41+'Saisie B2B'!Y41</f>
        <v>0</v>
      </c>
      <c r="Z41" s="8">
        <f>'Saisie B2C'!Z41+'Saisie B2B'!Z41</f>
        <v>0</v>
      </c>
      <c r="AA41" s="8">
        <f>'Saisie B2C'!AA41+'Saisie B2B'!AA41</f>
        <v>0</v>
      </c>
      <c r="AB41" s="8">
        <f>'Saisie B2C'!AB41+'Saisie B2B'!AB41</f>
        <v>0</v>
      </c>
      <c r="AC41" s="8">
        <f>'Saisie B2C'!AC41+'Saisie B2B'!AC41</f>
        <v>0</v>
      </c>
      <c r="AD41" s="8">
        <f>'Saisie B2C'!AD41+'Saisie B2B'!AD41</f>
        <v>0</v>
      </c>
      <c r="AE41" s="8">
        <f>'Saisie B2C'!AE41+'Saisie B2B'!AE41</f>
        <v>0</v>
      </c>
      <c r="AF41" s="8">
        <f>'Saisie B2C'!AF41+'Saisie B2B'!AF41</f>
        <v>0</v>
      </c>
      <c r="AG41" s="8">
        <f>'Saisie B2C'!AG41+'Saisie B2B'!AG41</f>
        <v>0</v>
      </c>
      <c r="AH41" s="8">
        <f>'Saisie B2C'!AH41+'Saisie B2B'!AH41</f>
        <v>0</v>
      </c>
    </row>
    <row r="42" spans="1:34" x14ac:dyDescent="0.45">
      <c r="A42" s="8" t="str">
        <f>'Saisie B2C'!A42</f>
        <v>CONCORDE</v>
      </c>
      <c r="B42" s="8" t="str">
        <f>'Saisie B2C'!B42</f>
        <v>pms_rgz_abijou.ftth</v>
      </c>
      <c r="D42" s="8">
        <f>'Saisie B2C'!D42+'Saisie B2B'!D42</f>
        <v>0</v>
      </c>
      <c r="E42" s="8">
        <f>'Saisie B2C'!E42+'Saisie B2B'!E42</f>
        <v>0</v>
      </c>
      <c r="F42" s="8">
        <f>'Saisie B2C'!F42+'Saisie B2B'!F42</f>
        <v>0</v>
      </c>
      <c r="G42" s="8">
        <f>'Saisie B2C'!G42+'Saisie B2B'!G42</f>
        <v>0</v>
      </c>
      <c r="H42" s="8">
        <f>'Saisie B2C'!H42+'Saisie B2B'!H42</f>
        <v>0</v>
      </c>
      <c r="I42" s="8">
        <f>'Saisie B2C'!I42+'Saisie B2B'!I42</f>
        <v>0</v>
      </c>
      <c r="J42" s="8">
        <f>'Saisie B2C'!J42+'Saisie B2B'!J42</f>
        <v>0</v>
      </c>
      <c r="K42" s="8">
        <f>'Saisie B2C'!K42+'Saisie B2B'!K42</f>
        <v>0</v>
      </c>
      <c r="L42" s="8">
        <f>'Saisie B2C'!L42+'Saisie B2B'!L42</f>
        <v>0</v>
      </c>
      <c r="M42" s="8">
        <f>'Saisie B2C'!M42+'Saisie B2B'!M42</f>
        <v>0</v>
      </c>
      <c r="N42" s="8">
        <f>'Saisie B2C'!N42+'Saisie B2B'!N42</f>
        <v>0</v>
      </c>
      <c r="O42" s="8">
        <f>'Saisie B2C'!O42+'Saisie B2B'!O42</f>
        <v>0</v>
      </c>
      <c r="P42" s="8">
        <f>'Saisie B2C'!P42+'Saisie B2B'!P42</f>
        <v>0</v>
      </c>
      <c r="Q42" s="8">
        <f>'Saisie B2C'!Q42+'Saisie B2B'!Q42</f>
        <v>0</v>
      </c>
      <c r="R42" s="8">
        <f>'Saisie B2C'!R42+'Saisie B2B'!R42</f>
        <v>0</v>
      </c>
      <c r="S42" s="8">
        <f>'Saisie B2C'!S42+'Saisie B2B'!S42</f>
        <v>0</v>
      </c>
      <c r="T42" s="8">
        <f>'Saisie B2C'!T42+'Saisie B2B'!T42</f>
        <v>0</v>
      </c>
      <c r="U42" s="8">
        <f>'Saisie B2C'!U42+'Saisie B2B'!U42</f>
        <v>0</v>
      </c>
      <c r="V42" s="8">
        <f>'Saisie B2C'!V42+'Saisie B2B'!V42</f>
        <v>0</v>
      </c>
      <c r="W42" s="8">
        <f>'Saisie B2C'!W42+'Saisie B2B'!W42</f>
        <v>0</v>
      </c>
      <c r="X42" s="8">
        <f>'Saisie B2C'!X42+'Saisie B2B'!X42</f>
        <v>0</v>
      </c>
      <c r="Y42" s="8">
        <f>'Saisie B2C'!Y42+'Saisie B2B'!Y42</f>
        <v>0</v>
      </c>
      <c r="Z42" s="8">
        <f>'Saisie B2C'!Z42+'Saisie B2B'!Z42</f>
        <v>0</v>
      </c>
      <c r="AA42" s="8">
        <f>'Saisie B2C'!AA42+'Saisie B2B'!AA42</f>
        <v>0</v>
      </c>
      <c r="AB42" s="8">
        <f>'Saisie B2C'!AB42+'Saisie B2B'!AB42</f>
        <v>0</v>
      </c>
      <c r="AC42" s="8">
        <f>'Saisie B2C'!AC42+'Saisie B2B'!AC42</f>
        <v>0</v>
      </c>
      <c r="AD42" s="8">
        <f>'Saisie B2C'!AD42+'Saisie B2B'!AD42</f>
        <v>0</v>
      </c>
      <c r="AE42" s="8">
        <f>'Saisie B2C'!AE42+'Saisie B2B'!AE42</f>
        <v>0</v>
      </c>
      <c r="AF42" s="8">
        <f>'Saisie B2C'!AF42+'Saisie B2B'!AF42</f>
        <v>0</v>
      </c>
      <c r="AG42" s="8">
        <f>'Saisie B2C'!AG42+'Saisie B2B'!AG42</f>
        <v>0</v>
      </c>
      <c r="AH42" s="8">
        <f>'Saisie B2C'!AH42+'Saisie B2B'!AH42</f>
        <v>0</v>
      </c>
    </row>
    <row r="43" spans="1:34" x14ac:dyDescent="0.45">
      <c r="A43" s="8" t="str">
        <f>'Saisie B2C'!A43</f>
        <v>CONCORDE</v>
      </c>
      <c r="B43" s="8" t="str">
        <f>'Saisie B2C'!B43</f>
        <v>pms_rgz_svictor.ftth</v>
      </c>
      <c r="D43" s="8">
        <f>'Saisie B2C'!D43+'Saisie B2B'!D43</f>
        <v>0</v>
      </c>
      <c r="E43" s="8">
        <f>'Saisie B2C'!E43+'Saisie B2B'!E43</f>
        <v>0</v>
      </c>
      <c r="F43" s="8">
        <f>'Saisie B2C'!F43+'Saisie B2B'!F43</f>
        <v>0</v>
      </c>
      <c r="G43" s="8">
        <f>'Saisie B2C'!G43+'Saisie B2B'!G43</f>
        <v>0</v>
      </c>
      <c r="H43" s="8">
        <f>'Saisie B2C'!H43+'Saisie B2B'!H43</f>
        <v>0</v>
      </c>
      <c r="I43" s="8">
        <f>'Saisie B2C'!I43+'Saisie B2B'!I43</f>
        <v>0</v>
      </c>
      <c r="J43" s="8">
        <f>'Saisie B2C'!J43+'Saisie B2B'!J43</f>
        <v>0</v>
      </c>
      <c r="K43" s="8">
        <f>'Saisie B2C'!K43+'Saisie B2B'!K43</f>
        <v>0</v>
      </c>
      <c r="L43" s="8">
        <f>'Saisie B2C'!L43+'Saisie B2B'!L43</f>
        <v>0</v>
      </c>
      <c r="M43" s="8">
        <f>'Saisie B2C'!M43+'Saisie B2B'!M43</f>
        <v>0</v>
      </c>
      <c r="N43" s="8">
        <f>'Saisie B2C'!N43+'Saisie B2B'!N43</f>
        <v>0</v>
      </c>
      <c r="O43" s="8">
        <f>'Saisie B2C'!O43+'Saisie B2B'!O43</f>
        <v>0</v>
      </c>
      <c r="P43" s="8">
        <f>'Saisie B2C'!P43+'Saisie B2B'!P43</f>
        <v>0</v>
      </c>
      <c r="Q43" s="8">
        <f>'Saisie B2C'!Q43+'Saisie B2B'!Q43</f>
        <v>0</v>
      </c>
      <c r="R43" s="8">
        <f>'Saisie B2C'!R43+'Saisie B2B'!R43</f>
        <v>0</v>
      </c>
      <c r="S43" s="8">
        <f>'Saisie B2C'!S43+'Saisie B2B'!S43</f>
        <v>0</v>
      </c>
      <c r="T43" s="8">
        <f>'Saisie B2C'!T43+'Saisie B2B'!T43</f>
        <v>0</v>
      </c>
      <c r="U43" s="8">
        <f>'Saisie B2C'!U43+'Saisie B2B'!U43</f>
        <v>0</v>
      </c>
      <c r="V43" s="8">
        <f>'Saisie B2C'!V43+'Saisie B2B'!V43</f>
        <v>0</v>
      </c>
      <c r="W43" s="8">
        <f>'Saisie B2C'!W43+'Saisie B2B'!W43</f>
        <v>0</v>
      </c>
      <c r="X43" s="8">
        <f>'Saisie B2C'!X43+'Saisie B2B'!X43</f>
        <v>0</v>
      </c>
      <c r="Y43" s="8">
        <f>'Saisie B2C'!Y43+'Saisie B2B'!Y43</f>
        <v>0</v>
      </c>
      <c r="Z43" s="8">
        <f>'Saisie B2C'!Z43+'Saisie B2B'!Z43</f>
        <v>0</v>
      </c>
      <c r="AA43" s="8">
        <f>'Saisie B2C'!AA43+'Saisie B2B'!AA43</f>
        <v>0</v>
      </c>
      <c r="AB43" s="8">
        <f>'Saisie B2C'!AB43+'Saisie B2B'!AB43</f>
        <v>0</v>
      </c>
      <c r="AC43" s="8">
        <f>'Saisie B2C'!AC43+'Saisie B2B'!AC43</f>
        <v>0</v>
      </c>
      <c r="AD43" s="8">
        <f>'Saisie B2C'!AD43+'Saisie B2B'!AD43</f>
        <v>0</v>
      </c>
      <c r="AE43" s="8">
        <f>'Saisie B2C'!AE43+'Saisie B2B'!AE43</f>
        <v>0</v>
      </c>
      <c r="AF43" s="8">
        <f>'Saisie B2C'!AF43+'Saisie B2B'!AF43</f>
        <v>0</v>
      </c>
      <c r="AG43" s="8">
        <f>'Saisie B2C'!AG43+'Saisie B2B'!AG43</f>
        <v>0</v>
      </c>
      <c r="AH43" s="8">
        <f>'Saisie B2C'!AH43+'Saisie B2B'!AH43</f>
        <v>0</v>
      </c>
    </row>
    <row r="44" spans="1:34" x14ac:dyDescent="0.45">
      <c r="A44" s="8" t="str">
        <f>'Saisie B2C'!A44</f>
        <v>BRAVO</v>
      </c>
      <c r="B44" s="8" t="str">
        <f>'Saisie B2C'!B44</f>
        <v>pvt_rgz_afaoziath.ftth</v>
      </c>
      <c r="D44" s="8">
        <f>'Saisie B2C'!D44+'Saisie B2B'!D44</f>
        <v>0</v>
      </c>
      <c r="E44" s="8">
        <f>'Saisie B2C'!E44+'Saisie B2B'!E44</f>
        <v>0</v>
      </c>
      <c r="F44" s="8">
        <f>'Saisie B2C'!F44+'Saisie B2B'!F44</f>
        <v>0</v>
      </c>
      <c r="G44" s="8">
        <f>'Saisie B2C'!G44+'Saisie B2B'!G44</f>
        <v>0</v>
      </c>
      <c r="H44" s="8">
        <f>'Saisie B2C'!H44+'Saisie B2B'!H44</f>
        <v>0</v>
      </c>
      <c r="I44" s="8">
        <f>'Saisie B2C'!I44+'Saisie B2B'!I44</f>
        <v>0</v>
      </c>
      <c r="J44" s="8">
        <f>'Saisie B2C'!J44+'Saisie B2B'!J44</f>
        <v>0</v>
      </c>
      <c r="K44" s="8">
        <f>'Saisie B2C'!K44+'Saisie B2B'!K44</f>
        <v>0</v>
      </c>
      <c r="L44" s="8">
        <f>'Saisie B2C'!L44+'Saisie B2B'!L44</f>
        <v>0</v>
      </c>
      <c r="M44" s="8">
        <f>'Saisie B2C'!M44+'Saisie B2B'!M44</f>
        <v>0</v>
      </c>
      <c r="N44" s="8">
        <f>'Saisie B2C'!N44+'Saisie B2B'!N44</f>
        <v>0</v>
      </c>
      <c r="O44" s="8">
        <f>'Saisie B2C'!O44+'Saisie B2B'!O44</f>
        <v>0</v>
      </c>
      <c r="P44" s="8">
        <f>'Saisie B2C'!P44+'Saisie B2B'!P44</f>
        <v>0</v>
      </c>
      <c r="Q44" s="8">
        <f>'Saisie B2C'!Q44+'Saisie B2B'!Q44</f>
        <v>0</v>
      </c>
      <c r="R44" s="8">
        <f>'Saisie B2C'!R44+'Saisie B2B'!R44</f>
        <v>0</v>
      </c>
      <c r="S44" s="8">
        <f>'Saisie B2C'!S44+'Saisie B2B'!S44</f>
        <v>0</v>
      </c>
      <c r="T44" s="8">
        <f>'Saisie B2C'!T44+'Saisie B2B'!T44</f>
        <v>0</v>
      </c>
      <c r="U44" s="8">
        <f>'Saisie B2C'!U44+'Saisie B2B'!U44</f>
        <v>0</v>
      </c>
      <c r="V44" s="8">
        <f>'Saisie B2C'!V44+'Saisie B2B'!V44</f>
        <v>0</v>
      </c>
      <c r="W44" s="8">
        <f>'Saisie B2C'!W44+'Saisie B2B'!W44</f>
        <v>0</v>
      </c>
      <c r="X44" s="8">
        <f>'Saisie B2C'!X44+'Saisie B2B'!X44</f>
        <v>0</v>
      </c>
      <c r="Y44" s="8">
        <f>'Saisie B2C'!Y44+'Saisie B2B'!Y44</f>
        <v>0</v>
      </c>
      <c r="Z44" s="8">
        <f>'Saisie B2C'!Z44+'Saisie B2B'!Z44</f>
        <v>0</v>
      </c>
      <c r="AA44" s="8">
        <f>'Saisie B2C'!AA44+'Saisie B2B'!AA44</f>
        <v>0</v>
      </c>
      <c r="AB44" s="8">
        <f>'Saisie B2C'!AB44+'Saisie B2B'!AB44</f>
        <v>0</v>
      </c>
      <c r="AC44" s="8">
        <f>'Saisie B2C'!AC44+'Saisie B2B'!AC44</f>
        <v>0</v>
      </c>
      <c r="AD44" s="8">
        <f>'Saisie B2C'!AD44+'Saisie B2B'!AD44</f>
        <v>0</v>
      </c>
      <c r="AE44" s="8">
        <f>'Saisie B2C'!AE44+'Saisie B2B'!AE44</f>
        <v>0</v>
      </c>
      <c r="AF44" s="8">
        <f>'Saisie B2C'!AF44+'Saisie B2B'!AF44</f>
        <v>0</v>
      </c>
      <c r="AG44" s="8">
        <f>'Saisie B2C'!AG44+'Saisie B2B'!AG44</f>
        <v>0</v>
      </c>
      <c r="AH44" s="8">
        <f>'Saisie B2C'!AH44+'Saisie B2B'!AH44</f>
        <v>0</v>
      </c>
    </row>
    <row r="45" spans="1:34" x14ac:dyDescent="0.45">
      <c r="A45" s="8" t="str">
        <f>'Saisie B2C'!A45</f>
        <v>BRAVO</v>
      </c>
      <c r="B45" s="8" t="str">
        <f>'Saisie B2C'!B45</f>
        <v>pvt_rgz_lgrace.ftth</v>
      </c>
      <c r="D45" s="8">
        <f>'Saisie B2C'!D45+'Saisie B2B'!D45</f>
        <v>0</v>
      </c>
      <c r="E45" s="8">
        <f>'Saisie B2C'!E45+'Saisie B2B'!E45</f>
        <v>0</v>
      </c>
      <c r="F45" s="8">
        <f>'Saisie B2C'!F45+'Saisie B2B'!F45</f>
        <v>0</v>
      </c>
      <c r="G45" s="8">
        <f>'Saisie B2C'!G45+'Saisie B2B'!G45</f>
        <v>0</v>
      </c>
      <c r="H45" s="8">
        <f>'Saisie B2C'!H45+'Saisie B2B'!H45</f>
        <v>0</v>
      </c>
      <c r="I45" s="8">
        <f>'Saisie B2C'!I45+'Saisie B2B'!I45</f>
        <v>0</v>
      </c>
      <c r="J45" s="8">
        <f>'Saisie B2C'!J45+'Saisie B2B'!J45</f>
        <v>0</v>
      </c>
      <c r="K45" s="8">
        <f>'Saisie B2C'!K45+'Saisie B2B'!K45</f>
        <v>0</v>
      </c>
      <c r="L45" s="8">
        <f>'Saisie B2C'!L45+'Saisie B2B'!L45</f>
        <v>0</v>
      </c>
      <c r="M45" s="8">
        <f>'Saisie B2C'!M45+'Saisie B2B'!M45</f>
        <v>0</v>
      </c>
      <c r="N45" s="8">
        <f>'Saisie B2C'!N45+'Saisie B2B'!N45</f>
        <v>0</v>
      </c>
      <c r="O45" s="8">
        <f>'Saisie B2C'!O45+'Saisie B2B'!O45</f>
        <v>0</v>
      </c>
      <c r="P45" s="8">
        <f>'Saisie B2C'!P45+'Saisie B2B'!P45</f>
        <v>0</v>
      </c>
      <c r="Q45" s="8">
        <f>'Saisie B2C'!Q45+'Saisie B2B'!Q45</f>
        <v>0</v>
      </c>
      <c r="R45" s="8">
        <f>'Saisie B2C'!R45+'Saisie B2B'!R45</f>
        <v>0</v>
      </c>
      <c r="S45" s="8">
        <f>'Saisie B2C'!S45+'Saisie B2B'!S45</f>
        <v>0</v>
      </c>
      <c r="T45" s="8">
        <f>'Saisie B2C'!T45+'Saisie B2B'!T45</f>
        <v>0</v>
      </c>
      <c r="U45" s="8">
        <f>'Saisie B2C'!U45+'Saisie B2B'!U45</f>
        <v>0</v>
      </c>
      <c r="V45" s="8">
        <f>'Saisie B2C'!V45+'Saisie B2B'!V45</f>
        <v>0</v>
      </c>
      <c r="W45" s="8">
        <f>'Saisie B2C'!W45+'Saisie B2B'!W45</f>
        <v>0</v>
      </c>
      <c r="X45" s="8">
        <f>'Saisie B2C'!X45+'Saisie B2B'!X45</f>
        <v>0</v>
      </c>
      <c r="Y45" s="8">
        <f>'Saisie B2C'!Y45+'Saisie B2B'!Y45</f>
        <v>0</v>
      </c>
      <c r="Z45" s="8">
        <f>'Saisie B2C'!Z45+'Saisie B2B'!Z45</f>
        <v>0</v>
      </c>
      <c r="AA45" s="8">
        <f>'Saisie B2C'!AA45+'Saisie B2B'!AA45</f>
        <v>0</v>
      </c>
      <c r="AB45" s="8">
        <f>'Saisie B2C'!AB45+'Saisie B2B'!AB45</f>
        <v>0</v>
      </c>
      <c r="AC45" s="8">
        <f>'Saisie B2C'!AC45+'Saisie B2B'!AC45</f>
        <v>0</v>
      </c>
      <c r="AD45" s="8">
        <f>'Saisie B2C'!AD45+'Saisie B2B'!AD45</f>
        <v>0</v>
      </c>
      <c r="AE45" s="8">
        <f>'Saisie B2C'!AE45+'Saisie B2B'!AE45</f>
        <v>0</v>
      </c>
      <c r="AF45" s="8">
        <f>'Saisie B2C'!AF45+'Saisie B2B'!AF45</f>
        <v>0</v>
      </c>
      <c r="AG45" s="8">
        <f>'Saisie B2C'!AG45+'Saisie B2B'!AG45</f>
        <v>0</v>
      </c>
      <c r="AH45" s="8">
        <f>'Saisie B2C'!AH45+'Saisie B2B'!AH45</f>
        <v>0</v>
      </c>
    </row>
    <row r="46" spans="1:34" x14ac:dyDescent="0.45">
      <c r="A46" s="8" t="str">
        <f>'Saisie B2C'!A46</f>
        <v>OMEGA</v>
      </c>
      <c r="B46" s="8" t="str">
        <f>'Saisie B2C'!B46</f>
        <v>pvt_rgz_mvenceslas</v>
      </c>
      <c r="D46" s="8">
        <f>'Saisie B2C'!D46+'Saisie B2B'!D46</f>
        <v>0</v>
      </c>
      <c r="E46" s="8">
        <f>'Saisie B2C'!E46+'Saisie B2B'!E46</f>
        <v>0</v>
      </c>
      <c r="F46" s="8">
        <f>'Saisie B2C'!F46+'Saisie B2B'!F46</f>
        <v>0</v>
      </c>
      <c r="G46" s="8">
        <f>'Saisie B2C'!G46+'Saisie B2B'!G46</f>
        <v>0</v>
      </c>
      <c r="H46" s="8">
        <f>'Saisie B2C'!H46+'Saisie B2B'!H46</f>
        <v>0</v>
      </c>
      <c r="I46" s="8">
        <f>'Saisie B2C'!I46+'Saisie B2B'!I46</f>
        <v>0</v>
      </c>
      <c r="J46" s="8">
        <f>'Saisie B2C'!J46+'Saisie B2B'!J46</f>
        <v>0</v>
      </c>
      <c r="K46" s="8">
        <f>'Saisie B2C'!K46+'Saisie B2B'!K46</f>
        <v>0</v>
      </c>
      <c r="L46" s="8">
        <f>'Saisie B2C'!L46+'Saisie B2B'!L46</f>
        <v>0</v>
      </c>
      <c r="M46" s="8">
        <f>'Saisie B2C'!M46+'Saisie B2B'!M46</f>
        <v>0</v>
      </c>
      <c r="N46" s="8">
        <f>'Saisie B2C'!N46+'Saisie B2B'!N46</f>
        <v>0</v>
      </c>
      <c r="O46" s="8">
        <f>'Saisie B2C'!O46+'Saisie B2B'!O46</f>
        <v>0</v>
      </c>
      <c r="P46" s="8">
        <f>'Saisie B2C'!P46+'Saisie B2B'!P46</f>
        <v>0</v>
      </c>
      <c r="Q46" s="8">
        <f>'Saisie B2C'!Q46+'Saisie B2B'!Q46</f>
        <v>0</v>
      </c>
      <c r="R46" s="8">
        <f>'Saisie B2C'!R46+'Saisie B2B'!R46</f>
        <v>0</v>
      </c>
      <c r="S46" s="8">
        <f>'Saisie B2C'!S46+'Saisie B2B'!S46</f>
        <v>0</v>
      </c>
      <c r="T46" s="8">
        <f>'Saisie B2C'!T46+'Saisie B2B'!T46</f>
        <v>0</v>
      </c>
      <c r="U46" s="8">
        <f>'Saisie B2C'!U46+'Saisie B2B'!U46</f>
        <v>0</v>
      </c>
      <c r="V46" s="8">
        <f>'Saisie B2C'!V46+'Saisie B2B'!V46</f>
        <v>0</v>
      </c>
      <c r="W46" s="8">
        <f>'Saisie B2C'!W46+'Saisie B2B'!W46</f>
        <v>0</v>
      </c>
      <c r="X46" s="8">
        <f>'Saisie B2C'!X46+'Saisie B2B'!X46</f>
        <v>0</v>
      </c>
      <c r="Y46" s="8">
        <f>'Saisie B2C'!Y46+'Saisie B2B'!Y46</f>
        <v>0</v>
      </c>
      <c r="Z46" s="8">
        <f>'Saisie B2C'!Z46+'Saisie B2B'!Z46</f>
        <v>0</v>
      </c>
      <c r="AA46" s="8">
        <f>'Saisie B2C'!AA46+'Saisie B2B'!AA46</f>
        <v>0</v>
      </c>
      <c r="AB46" s="8">
        <f>'Saisie B2C'!AB46+'Saisie B2B'!AB46</f>
        <v>0</v>
      </c>
      <c r="AC46" s="8">
        <f>'Saisie B2C'!AC46+'Saisie B2B'!AC46</f>
        <v>0</v>
      </c>
      <c r="AD46" s="8">
        <f>'Saisie B2C'!AD46+'Saisie B2B'!AD46</f>
        <v>0</v>
      </c>
      <c r="AE46" s="8">
        <f>'Saisie B2C'!AE46+'Saisie B2B'!AE46</f>
        <v>0</v>
      </c>
      <c r="AF46" s="8">
        <f>'Saisie B2C'!AF46+'Saisie B2B'!AF46</f>
        <v>0</v>
      </c>
      <c r="AG46" s="8">
        <f>'Saisie B2C'!AG46+'Saisie B2B'!AG46</f>
        <v>0</v>
      </c>
      <c r="AH46" s="8">
        <f>'Saisie B2C'!AH46+'Saisie B2B'!AH46</f>
        <v>0</v>
      </c>
    </row>
    <row r="47" spans="1:34" x14ac:dyDescent="0.45">
      <c r="A47" s="8" t="str">
        <f>'Saisie B2C'!A47</f>
        <v>OMEGA</v>
      </c>
      <c r="B47" s="8" t="str">
        <f>'Saisie B2C'!B47</f>
        <v>pvt_rgz_amarcel</v>
      </c>
      <c r="D47" s="8">
        <f>'Saisie B2C'!D47+'Saisie B2B'!D47</f>
        <v>0</v>
      </c>
      <c r="E47" s="8">
        <f>'Saisie B2C'!E47+'Saisie B2B'!E47</f>
        <v>0</v>
      </c>
      <c r="F47" s="8">
        <f>'Saisie B2C'!F47+'Saisie B2B'!F47</f>
        <v>0</v>
      </c>
      <c r="G47" s="8">
        <f>'Saisie B2C'!G47+'Saisie B2B'!G47</f>
        <v>0</v>
      </c>
      <c r="H47" s="8">
        <f>'Saisie B2C'!H47+'Saisie B2B'!H47</f>
        <v>0</v>
      </c>
      <c r="I47" s="8">
        <f>'Saisie B2C'!I47+'Saisie B2B'!I47</f>
        <v>0</v>
      </c>
      <c r="J47" s="8">
        <f>'Saisie B2C'!J47+'Saisie B2B'!J47</f>
        <v>0</v>
      </c>
      <c r="K47" s="8">
        <f>'Saisie B2C'!K47+'Saisie B2B'!K47</f>
        <v>0</v>
      </c>
      <c r="L47" s="8">
        <f>'Saisie B2C'!L47+'Saisie B2B'!L47</f>
        <v>0</v>
      </c>
      <c r="M47" s="8">
        <f>'Saisie B2C'!M47+'Saisie B2B'!M47</f>
        <v>0</v>
      </c>
      <c r="N47" s="8">
        <f>'Saisie B2C'!N47+'Saisie B2B'!N47</f>
        <v>0</v>
      </c>
      <c r="O47" s="8">
        <f>'Saisie B2C'!O47+'Saisie B2B'!O47</f>
        <v>0</v>
      </c>
      <c r="P47" s="8">
        <f>'Saisie B2C'!P47+'Saisie B2B'!P47</f>
        <v>0</v>
      </c>
      <c r="Q47" s="8">
        <f>'Saisie B2C'!Q47+'Saisie B2B'!Q47</f>
        <v>0</v>
      </c>
      <c r="R47" s="8">
        <f>'Saisie B2C'!R47+'Saisie B2B'!R47</f>
        <v>0</v>
      </c>
      <c r="S47" s="8">
        <f>'Saisie B2C'!S47+'Saisie B2B'!S47</f>
        <v>0</v>
      </c>
      <c r="T47" s="8">
        <f>'Saisie B2C'!T47+'Saisie B2B'!T47</f>
        <v>0</v>
      </c>
      <c r="U47" s="8">
        <f>'Saisie B2C'!U47+'Saisie B2B'!U47</f>
        <v>0</v>
      </c>
      <c r="V47" s="8">
        <f>'Saisie B2C'!V47+'Saisie B2B'!V47</f>
        <v>0</v>
      </c>
      <c r="W47" s="8">
        <f>'Saisie B2C'!W47+'Saisie B2B'!W47</f>
        <v>0</v>
      </c>
      <c r="X47" s="8">
        <f>'Saisie B2C'!X47+'Saisie B2B'!X47</f>
        <v>0</v>
      </c>
      <c r="Y47" s="8">
        <f>'Saisie B2C'!Y47+'Saisie B2B'!Y47</f>
        <v>0</v>
      </c>
      <c r="Z47" s="8">
        <f>'Saisie B2C'!Z47+'Saisie B2B'!Z47</f>
        <v>0</v>
      </c>
      <c r="AA47" s="8">
        <f>'Saisie B2C'!AA47+'Saisie B2B'!AA47</f>
        <v>0</v>
      </c>
      <c r="AB47" s="8">
        <f>'Saisie B2C'!AB47+'Saisie B2B'!AB47</f>
        <v>0</v>
      </c>
      <c r="AC47" s="8">
        <f>'Saisie B2C'!AC47+'Saisie B2B'!AC47</f>
        <v>0</v>
      </c>
      <c r="AD47" s="8">
        <f>'Saisie B2C'!AD47+'Saisie B2B'!AD47</f>
        <v>0</v>
      </c>
      <c r="AE47" s="8">
        <f>'Saisie B2C'!AE47+'Saisie B2B'!AE47</f>
        <v>0</v>
      </c>
      <c r="AF47" s="8">
        <f>'Saisie B2C'!AF47+'Saisie B2B'!AF47</f>
        <v>0</v>
      </c>
      <c r="AG47" s="8">
        <f>'Saisie B2C'!AG47+'Saisie B2B'!AG47</f>
        <v>0</v>
      </c>
      <c r="AH47" s="8">
        <f>'Saisie B2C'!AH47+'Saisie B2B'!AH47</f>
        <v>0</v>
      </c>
    </row>
    <row r="48" spans="1:34" x14ac:dyDescent="0.45">
      <c r="A48" s="8" t="str">
        <f>'Saisie B2C'!A48</f>
        <v>OMEGA</v>
      </c>
      <c r="B48" s="8" t="str">
        <f>'Saisie B2C'!B48</f>
        <v>pvt_rgz_ojeovani.ftth</v>
      </c>
      <c r="D48" s="8">
        <f>'Saisie B2C'!D48+'Saisie B2B'!D48</f>
        <v>0</v>
      </c>
      <c r="E48" s="8">
        <f>'Saisie B2C'!E48+'Saisie B2B'!E48</f>
        <v>0</v>
      </c>
      <c r="F48" s="8">
        <f>'Saisie B2C'!F48+'Saisie B2B'!F48</f>
        <v>0</v>
      </c>
      <c r="G48" s="8">
        <f>'Saisie B2C'!G48+'Saisie B2B'!G48</f>
        <v>0</v>
      </c>
      <c r="H48" s="8">
        <f>'Saisie B2C'!H48+'Saisie B2B'!H48</f>
        <v>0</v>
      </c>
      <c r="I48" s="8">
        <f>'Saisie B2C'!I48+'Saisie B2B'!I48</f>
        <v>0</v>
      </c>
      <c r="J48" s="8">
        <f>'Saisie B2C'!J48+'Saisie B2B'!J48</f>
        <v>0</v>
      </c>
      <c r="K48" s="8">
        <f>'Saisie B2C'!K48+'Saisie B2B'!K48</f>
        <v>0</v>
      </c>
      <c r="L48" s="8">
        <f>'Saisie B2C'!L48+'Saisie B2B'!L48</f>
        <v>0</v>
      </c>
      <c r="M48" s="8">
        <f>'Saisie B2C'!M48+'Saisie B2B'!M48</f>
        <v>0</v>
      </c>
      <c r="N48" s="8">
        <f>'Saisie B2C'!N48+'Saisie B2B'!N48</f>
        <v>0</v>
      </c>
      <c r="O48" s="8">
        <f>'Saisie B2C'!O48+'Saisie B2B'!O48</f>
        <v>0</v>
      </c>
      <c r="P48" s="8">
        <f>'Saisie B2C'!P48+'Saisie B2B'!P48</f>
        <v>0</v>
      </c>
      <c r="Q48" s="8">
        <f>'Saisie B2C'!Q48+'Saisie B2B'!Q48</f>
        <v>0</v>
      </c>
      <c r="R48" s="8">
        <f>'Saisie B2C'!R48+'Saisie B2B'!R48</f>
        <v>0</v>
      </c>
      <c r="S48" s="8">
        <f>'Saisie B2C'!S48+'Saisie B2B'!S48</f>
        <v>0</v>
      </c>
      <c r="T48" s="8">
        <f>'Saisie B2C'!T48+'Saisie B2B'!T48</f>
        <v>0</v>
      </c>
      <c r="U48" s="8">
        <f>'Saisie B2C'!U48+'Saisie B2B'!U48</f>
        <v>0</v>
      </c>
      <c r="V48" s="8">
        <f>'Saisie B2C'!V48+'Saisie B2B'!V48</f>
        <v>0</v>
      </c>
      <c r="W48" s="8">
        <f>'Saisie B2C'!W48+'Saisie B2B'!W48</f>
        <v>0</v>
      </c>
      <c r="X48" s="8">
        <f>'Saisie B2C'!X48+'Saisie B2B'!X48</f>
        <v>0</v>
      </c>
      <c r="Y48" s="8">
        <f>'Saisie B2C'!Y48+'Saisie B2B'!Y48</f>
        <v>0</v>
      </c>
      <c r="Z48" s="8">
        <f>'Saisie B2C'!Z48+'Saisie B2B'!Z48</f>
        <v>0</v>
      </c>
      <c r="AA48" s="8">
        <f>'Saisie B2C'!AA48+'Saisie B2B'!AA48</f>
        <v>0</v>
      </c>
      <c r="AB48" s="8">
        <f>'Saisie B2C'!AB48+'Saisie B2B'!AB48</f>
        <v>0</v>
      </c>
      <c r="AC48" s="8">
        <f>'Saisie B2C'!AC48+'Saisie B2B'!AC48</f>
        <v>0</v>
      </c>
      <c r="AD48" s="8">
        <f>'Saisie B2C'!AD48+'Saisie B2B'!AD48</f>
        <v>0</v>
      </c>
      <c r="AE48" s="8">
        <f>'Saisie B2C'!AE48+'Saisie B2B'!AE48</f>
        <v>0</v>
      </c>
      <c r="AF48" s="8">
        <f>'Saisie B2C'!AF48+'Saisie B2B'!AF48</f>
        <v>0</v>
      </c>
      <c r="AG48" s="8">
        <f>'Saisie B2C'!AG48+'Saisie B2B'!AG48</f>
        <v>0</v>
      </c>
      <c r="AH48" s="8">
        <f>'Saisie B2C'!AH48+'Saisie B2B'!AH48</f>
        <v>0</v>
      </c>
    </row>
    <row r="50" spans="1:34" x14ac:dyDescent="0.45">
      <c r="A50" s="7" t="s">
        <v>267</v>
      </c>
    </row>
    <row r="51" spans="1:34" x14ac:dyDescent="0.45">
      <c r="A51" s="8" t="str">
        <f t="shared" ref="A51:B70" si="0">A6</f>
        <v>YANKEE</v>
      </c>
      <c r="B51" s="8" t="str">
        <f t="shared" si="0"/>
        <v>pms_rgz_tosee.ftth</v>
      </c>
      <c r="D51" s="44">
        <f>IF(AND('Suivi Agents'!$C6="Oui",'Suivi Agents'!$F6&gt;0,D$4=1,D$3&lt;=Paramètres!$B$10),D6/'Suivi Agents'!$G6+D6/1000+(1000-ROW())/10000000,-1)</f>
        <v>9.4900000000000003E-5</v>
      </c>
      <c r="E51" s="44">
        <f>IF(AND('Suivi Agents'!$C6="Oui",'Suivi Agents'!$F6&gt;0,E$4=1,E$3&lt;=Paramètres!$B$10),E6/'Suivi Agents'!$G6+E6/1000+(1000-ROW())/10000000,-1)</f>
        <v>-1</v>
      </c>
      <c r="F51" s="44">
        <f>IF(AND('Suivi Agents'!$C6="Oui",'Suivi Agents'!$F6&gt;0,F$4=1,F$3&lt;=Paramètres!$B$10),F6/'Suivi Agents'!$G6+F6/1000+(1000-ROW())/10000000,-1)</f>
        <v>-1</v>
      </c>
      <c r="G51" s="44">
        <f>IF(AND('Suivi Agents'!$C6="Oui",'Suivi Agents'!$F6&gt;0,G$4=1,G$3&lt;=Paramètres!$B$10),G6/'Suivi Agents'!$G6+G6/1000+(1000-ROW())/10000000,-1)</f>
        <v>-1</v>
      </c>
      <c r="H51" s="44">
        <f>IF(AND('Suivi Agents'!$C6="Oui",'Suivi Agents'!$F6&gt;0,H$4=1,H$3&lt;=Paramètres!$B$10),H6/'Suivi Agents'!$G6+H6/1000+(1000-ROW())/10000000,-1)</f>
        <v>-1</v>
      </c>
      <c r="I51" s="44">
        <f>IF(AND('Suivi Agents'!$C6="Oui",'Suivi Agents'!$F6&gt;0,I$4=1,I$3&lt;=Paramètres!$B$10),I6/'Suivi Agents'!$G6+I6/1000+(1000-ROW())/10000000,-1)</f>
        <v>-1</v>
      </c>
      <c r="J51" s="44">
        <f>IF(AND('Suivi Agents'!$C6="Oui",'Suivi Agents'!$F6&gt;0,J$4=1,J$3&lt;=Paramètres!$B$10),J6/'Suivi Agents'!$G6+J6/1000+(1000-ROW())/10000000,-1)</f>
        <v>-1</v>
      </c>
      <c r="K51" s="44">
        <f>IF(AND('Suivi Agents'!$C6="Oui",'Suivi Agents'!$F6&gt;0,K$4=1,K$3&lt;=Paramètres!$B$10),K6/'Suivi Agents'!$G6+K6/1000+(1000-ROW())/10000000,-1)</f>
        <v>-1</v>
      </c>
      <c r="L51" s="44">
        <f>IF(AND('Suivi Agents'!$C6="Oui",'Suivi Agents'!$F6&gt;0,L$4=1,L$3&lt;=Paramètres!$B$10),L6/'Suivi Agents'!$G6+L6/1000+(1000-ROW())/10000000,-1)</f>
        <v>-1</v>
      </c>
      <c r="M51" s="44">
        <f>IF(AND('Suivi Agents'!$C6="Oui",'Suivi Agents'!$F6&gt;0,M$4=1,M$3&lt;=Paramètres!$B$10),M6/'Suivi Agents'!$G6+M6/1000+(1000-ROW())/10000000,-1)</f>
        <v>-1</v>
      </c>
      <c r="N51" s="44">
        <f>IF(AND('Suivi Agents'!$C6="Oui",'Suivi Agents'!$F6&gt;0,N$4=1,N$3&lt;=Paramètres!$B$10),N6/'Suivi Agents'!$G6+N6/1000+(1000-ROW())/10000000,-1)</f>
        <v>-1</v>
      </c>
      <c r="O51" s="44">
        <f>IF(AND('Suivi Agents'!$C6="Oui",'Suivi Agents'!$F6&gt;0,O$4=1,O$3&lt;=Paramètres!$B$10),O6/'Suivi Agents'!$G6+O6/1000+(1000-ROW())/10000000,-1)</f>
        <v>-1</v>
      </c>
      <c r="P51" s="44">
        <f>IF(AND('Suivi Agents'!$C6="Oui",'Suivi Agents'!$F6&gt;0,P$4=1,P$3&lt;=Paramètres!$B$10),P6/'Suivi Agents'!$G6+P6/1000+(1000-ROW())/10000000,-1)</f>
        <v>-1</v>
      </c>
      <c r="Q51" s="44">
        <f>IF(AND('Suivi Agents'!$C6="Oui",'Suivi Agents'!$F6&gt;0,Q$4=1,Q$3&lt;=Paramètres!$B$10),Q6/'Suivi Agents'!$G6+Q6/1000+(1000-ROW())/10000000,-1)</f>
        <v>-1</v>
      </c>
      <c r="R51" s="44">
        <f>IF(AND('Suivi Agents'!$C6="Oui",'Suivi Agents'!$F6&gt;0,R$4=1,R$3&lt;=Paramètres!$B$10),R6/'Suivi Agents'!$G6+R6/1000+(1000-ROW())/10000000,-1)</f>
        <v>-1</v>
      </c>
      <c r="S51" s="44">
        <f>IF(AND('Suivi Agents'!$C6="Oui",'Suivi Agents'!$F6&gt;0,S$4=1,S$3&lt;=Paramètres!$B$10),S6/'Suivi Agents'!$G6+S6/1000+(1000-ROW())/10000000,-1)</f>
        <v>-1</v>
      </c>
      <c r="T51" s="44">
        <f>IF(AND('Suivi Agents'!$C6="Oui",'Suivi Agents'!$F6&gt;0,T$4=1,T$3&lt;=Paramètres!$B$10),T6/'Suivi Agents'!$G6+T6/1000+(1000-ROW())/10000000,-1)</f>
        <v>-1</v>
      </c>
      <c r="U51" s="44">
        <f>IF(AND('Suivi Agents'!$C6="Oui",'Suivi Agents'!$F6&gt;0,U$4=1,U$3&lt;=Paramètres!$B$10),U6/'Suivi Agents'!$G6+U6/1000+(1000-ROW())/10000000,-1)</f>
        <v>-1</v>
      </c>
      <c r="V51" s="44">
        <f>IF(AND('Suivi Agents'!$C6="Oui",'Suivi Agents'!$F6&gt;0,V$4=1,V$3&lt;=Paramètres!$B$10),V6/'Suivi Agents'!$G6+V6/1000+(1000-ROW())/10000000,-1)</f>
        <v>-1</v>
      </c>
      <c r="W51" s="44">
        <f>IF(AND('Suivi Agents'!$C6="Oui",'Suivi Agents'!$F6&gt;0,W$4=1,W$3&lt;=Paramètres!$B$10),W6/'Suivi Agents'!$G6+W6/1000+(1000-ROW())/10000000,-1)</f>
        <v>-1</v>
      </c>
      <c r="X51" s="44">
        <f>IF(AND('Suivi Agents'!$C6="Oui",'Suivi Agents'!$F6&gt;0,X$4=1,X$3&lt;=Paramètres!$B$10),X6/'Suivi Agents'!$G6+X6/1000+(1000-ROW())/10000000,-1)</f>
        <v>-1</v>
      </c>
      <c r="Y51" s="44">
        <f>IF(AND('Suivi Agents'!$C6="Oui",'Suivi Agents'!$F6&gt;0,Y$4=1,Y$3&lt;=Paramètres!$B$10),Y6/'Suivi Agents'!$G6+Y6/1000+(1000-ROW())/10000000,-1)</f>
        <v>-1</v>
      </c>
      <c r="Z51" s="44">
        <f>IF(AND('Suivi Agents'!$C6="Oui",'Suivi Agents'!$F6&gt;0,Z$4=1,Z$3&lt;=Paramètres!$B$10),Z6/'Suivi Agents'!$G6+Z6/1000+(1000-ROW())/10000000,-1)</f>
        <v>-1</v>
      </c>
      <c r="AA51" s="44">
        <f>IF(AND('Suivi Agents'!$C6="Oui",'Suivi Agents'!$F6&gt;0,AA$4=1,AA$3&lt;=Paramètres!$B$10),AA6/'Suivi Agents'!$G6+AA6/1000+(1000-ROW())/10000000,-1)</f>
        <v>-1</v>
      </c>
      <c r="AB51" s="44">
        <f>IF(AND('Suivi Agents'!$C6="Oui",'Suivi Agents'!$F6&gt;0,AB$4=1,AB$3&lt;=Paramètres!$B$10),AB6/'Suivi Agents'!$G6+AB6/1000+(1000-ROW())/10000000,-1)</f>
        <v>-1</v>
      </c>
      <c r="AC51" s="44">
        <f>IF(AND('Suivi Agents'!$C6="Oui",'Suivi Agents'!$F6&gt;0,AC$4=1,AC$3&lt;=Paramètres!$B$10),AC6/'Suivi Agents'!$G6+AC6/1000+(1000-ROW())/10000000,-1)</f>
        <v>-1</v>
      </c>
      <c r="AD51" s="44">
        <f>IF(AND('Suivi Agents'!$C6="Oui",'Suivi Agents'!$F6&gt;0,AD$4=1,AD$3&lt;=Paramètres!$B$10),AD6/'Suivi Agents'!$G6+AD6/1000+(1000-ROW())/10000000,-1)</f>
        <v>-1</v>
      </c>
      <c r="AE51" s="44">
        <f>IF(AND('Suivi Agents'!$C6="Oui",'Suivi Agents'!$F6&gt;0,AE$4=1,AE$3&lt;=Paramètres!$B$10),AE6/'Suivi Agents'!$G6+AE6/1000+(1000-ROW())/10000000,-1)</f>
        <v>-1</v>
      </c>
      <c r="AF51" s="44">
        <f>IF(AND('Suivi Agents'!$C6="Oui",'Suivi Agents'!$F6&gt;0,AF$4=1,AF$3&lt;=Paramètres!$B$10),AF6/'Suivi Agents'!$G6+AF6/1000+(1000-ROW())/10000000,-1)</f>
        <v>-1</v>
      </c>
      <c r="AG51" s="44">
        <f>IF(AND('Suivi Agents'!$C6="Oui",'Suivi Agents'!$F6&gt;0,AG$4=1,AG$3&lt;=Paramètres!$B$10),AG6/'Suivi Agents'!$G6+AG6/1000+(1000-ROW())/10000000,-1)</f>
        <v>-1</v>
      </c>
      <c r="AH51" s="44">
        <f>IF(AND('Suivi Agents'!$C6="Oui",'Suivi Agents'!$F6&gt;0,AH$4=1,AH$3&lt;=Paramètres!$B$10),AH6/'Suivi Agents'!$G6+AH6/1000+(1000-ROW())/10000000,-1)</f>
        <v>-1</v>
      </c>
    </row>
    <row r="52" spans="1:34" x14ac:dyDescent="0.45">
      <c r="A52" s="8" t="str">
        <f t="shared" si="0"/>
        <v>YANKEE</v>
      </c>
      <c r="B52" s="8" t="str">
        <f t="shared" si="0"/>
        <v>pvt_rgz_mfrancois.ftth</v>
      </c>
      <c r="D52" s="44">
        <f>IF(AND('Suivi Agents'!$C7="Oui",'Suivi Agents'!$F7&gt;0,D$4=1,D$3&lt;=Paramètres!$B$10),D7/'Suivi Agents'!$G7+D7/1000+(1000-ROW())/10000000,-1)</f>
        <v>9.48E-5</v>
      </c>
      <c r="E52" s="44">
        <f>IF(AND('Suivi Agents'!$C7="Oui",'Suivi Agents'!$F7&gt;0,E$4=1,E$3&lt;=Paramètres!$B$10),E7/'Suivi Agents'!$G7+E7/1000+(1000-ROW())/10000000,-1)</f>
        <v>-1</v>
      </c>
      <c r="F52" s="44">
        <f>IF(AND('Suivi Agents'!$C7="Oui",'Suivi Agents'!$F7&gt;0,F$4=1,F$3&lt;=Paramètres!$B$10),F7/'Suivi Agents'!$G7+F7/1000+(1000-ROW())/10000000,-1)</f>
        <v>-1</v>
      </c>
      <c r="G52" s="44">
        <f>IF(AND('Suivi Agents'!$C7="Oui",'Suivi Agents'!$F7&gt;0,G$4=1,G$3&lt;=Paramètres!$B$10),G7/'Suivi Agents'!$G7+G7/1000+(1000-ROW())/10000000,-1)</f>
        <v>-1</v>
      </c>
      <c r="H52" s="44">
        <f>IF(AND('Suivi Agents'!$C7="Oui",'Suivi Agents'!$F7&gt;0,H$4=1,H$3&lt;=Paramètres!$B$10),H7/'Suivi Agents'!$G7+H7/1000+(1000-ROW())/10000000,-1)</f>
        <v>-1</v>
      </c>
      <c r="I52" s="44">
        <f>IF(AND('Suivi Agents'!$C7="Oui",'Suivi Agents'!$F7&gt;0,I$4=1,I$3&lt;=Paramètres!$B$10),I7/'Suivi Agents'!$G7+I7/1000+(1000-ROW())/10000000,-1)</f>
        <v>-1</v>
      </c>
      <c r="J52" s="44">
        <f>IF(AND('Suivi Agents'!$C7="Oui",'Suivi Agents'!$F7&gt;0,J$4=1,J$3&lt;=Paramètres!$B$10),J7/'Suivi Agents'!$G7+J7/1000+(1000-ROW())/10000000,-1)</f>
        <v>-1</v>
      </c>
      <c r="K52" s="44">
        <f>IF(AND('Suivi Agents'!$C7="Oui",'Suivi Agents'!$F7&gt;0,K$4=1,K$3&lt;=Paramètres!$B$10),K7/'Suivi Agents'!$G7+K7/1000+(1000-ROW())/10000000,-1)</f>
        <v>-1</v>
      </c>
      <c r="L52" s="44">
        <f>IF(AND('Suivi Agents'!$C7="Oui",'Suivi Agents'!$F7&gt;0,L$4=1,L$3&lt;=Paramètres!$B$10),L7/'Suivi Agents'!$G7+L7/1000+(1000-ROW())/10000000,-1)</f>
        <v>-1</v>
      </c>
      <c r="M52" s="44">
        <f>IF(AND('Suivi Agents'!$C7="Oui",'Suivi Agents'!$F7&gt;0,M$4=1,M$3&lt;=Paramètres!$B$10),M7/'Suivi Agents'!$G7+M7/1000+(1000-ROW())/10000000,-1)</f>
        <v>-1</v>
      </c>
      <c r="N52" s="44">
        <f>IF(AND('Suivi Agents'!$C7="Oui",'Suivi Agents'!$F7&gt;0,N$4=1,N$3&lt;=Paramètres!$B$10),N7/'Suivi Agents'!$G7+N7/1000+(1000-ROW())/10000000,-1)</f>
        <v>-1</v>
      </c>
      <c r="O52" s="44">
        <f>IF(AND('Suivi Agents'!$C7="Oui",'Suivi Agents'!$F7&gt;0,O$4=1,O$3&lt;=Paramètres!$B$10),O7/'Suivi Agents'!$G7+O7/1000+(1000-ROW())/10000000,-1)</f>
        <v>-1</v>
      </c>
      <c r="P52" s="44">
        <f>IF(AND('Suivi Agents'!$C7="Oui",'Suivi Agents'!$F7&gt;0,P$4=1,P$3&lt;=Paramètres!$B$10),P7/'Suivi Agents'!$G7+P7/1000+(1000-ROW())/10000000,-1)</f>
        <v>-1</v>
      </c>
      <c r="Q52" s="44">
        <f>IF(AND('Suivi Agents'!$C7="Oui",'Suivi Agents'!$F7&gt;0,Q$4=1,Q$3&lt;=Paramètres!$B$10),Q7/'Suivi Agents'!$G7+Q7/1000+(1000-ROW())/10000000,-1)</f>
        <v>-1</v>
      </c>
      <c r="R52" s="44">
        <f>IF(AND('Suivi Agents'!$C7="Oui",'Suivi Agents'!$F7&gt;0,R$4=1,R$3&lt;=Paramètres!$B$10),R7/'Suivi Agents'!$G7+R7/1000+(1000-ROW())/10000000,-1)</f>
        <v>-1</v>
      </c>
      <c r="S52" s="44">
        <f>IF(AND('Suivi Agents'!$C7="Oui",'Suivi Agents'!$F7&gt;0,S$4=1,S$3&lt;=Paramètres!$B$10),S7/'Suivi Agents'!$G7+S7/1000+(1000-ROW())/10000000,-1)</f>
        <v>-1</v>
      </c>
      <c r="T52" s="44">
        <f>IF(AND('Suivi Agents'!$C7="Oui",'Suivi Agents'!$F7&gt;0,T$4=1,T$3&lt;=Paramètres!$B$10),T7/'Suivi Agents'!$G7+T7/1000+(1000-ROW())/10000000,-1)</f>
        <v>-1</v>
      </c>
      <c r="U52" s="44">
        <f>IF(AND('Suivi Agents'!$C7="Oui",'Suivi Agents'!$F7&gt;0,U$4=1,U$3&lt;=Paramètres!$B$10),U7/'Suivi Agents'!$G7+U7/1000+(1000-ROW())/10000000,-1)</f>
        <v>-1</v>
      </c>
      <c r="V52" s="44">
        <f>IF(AND('Suivi Agents'!$C7="Oui",'Suivi Agents'!$F7&gt;0,V$4=1,V$3&lt;=Paramètres!$B$10),V7/'Suivi Agents'!$G7+V7/1000+(1000-ROW())/10000000,-1)</f>
        <v>-1</v>
      </c>
      <c r="W52" s="44">
        <f>IF(AND('Suivi Agents'!$C7="Oui",'Suivi Agents'!$F7&gt;0,W$4=1,W$3&lt;=Paramètres!$B$10),W7/'Suivi Agents'!$G7+W7/1000+(1000-ROW())/10000000,-1)</f>
        <v>-1</v>
      </c>
      <c r="X52" s="44">
        <f>IF(AND('Suivi Agents'!$C7="Oui",'Suivi Agents'!$F7&gt;0,X$4=1,X$3&lt;=Paramètres!$B$10),X7/'Suivi Agents'!$G7+X7/1000+(1000-ROW())/10000000,-1)</f>
        <v>-1</v>
      </c>
      <c r="Y52" s="44">
        <f>IF(AND('Suivi Agents'!$C7="Oui",'Suivi Agents'!$F7&gt;0,Y$4=1,Y$3&lt;=Paramètres!$B$10),Y7/'Suivi Agents'!$G7+Y7/1000+(1000-ROW())/10000000,-1)</f>
        <v>-1</v>
      </c>
      <c r="Z52" s="44">
        <f>IF(AND('Suivi Agents'!$C7="Oui",'Suivi Agents'!$F7&gt;0,Z$4=1,Z$3&lt;=Paramètres!$B$10),Z7/'Suivi Agents'!$G7+Z7/1000+(1000-ROW())/10000000,-1)</f>
        <v>-1</v>
      </c>
      <c r="AA52" s="44">
        <f>IF(AND('Suivi Agents'!$C7="Oui",'Suivi Agents'!$F7&gt;0,AA$4=1,AA$3&lt;=Paramètres!$B$10),AA7/'Suivi Agents'!$G7+AA7/1000+(1000-ROW())/10000000,-1)</f>
        <v>-1</v>
      </c>
      <c r="AB52" s="44">
        <f>IF(AND('Suivi Agents'!$C7="Oui",'Suivi Agents'!$F7&gt;0,AB$4=1,AB$3&lt;=Paramètres!$B$10),AB7/'Suivi Agents'!$G7+AB7/1000+(1000-ROW())/10000000,-1)</f>
        <v>-1</v>
      </c>
      <c r="AC52" s="44">
        <f>IF(AND('Suivi Agents'!$C7="Oui",'Suivi Agents'!$F7&gt;0,AC$4=1,AC$3&lt;=Paramètres!$B$10),AC7/'Suivi Agents'!$G7+AC7/1000+(1000-ROW())/10000000,-1)</f>
        <v>-1</v>
      </c>
      <c r="AD52" s="44">
        <f>IF(AND('Suivi Agents'!$C7="Oui",'Suivi Agents'!$F7&gt;0,AD$4=1,AD$3&lt;=Paramètres!$B$10),AD7/'Suivi Agents'!$G7+AD7/1000+(1000-ROW())/10000000,-1)</f>
        <v>-1</v>
      </c>
      <c r="AE52" s="44">
        <f>IF(AND('Suivi Agents'!$C7="Oui",'Suivi Agents'!$F7&gt;0,AE$4=1,AE$3&lt;=Paramètres!$B$10),AE7/'Suivi Agents'!$G7+AE7/1000+(1000-ROW())/10000000,-1)</f>
        <v>-1</v>
      </c>
      <c r="AF52" s="44">
        <f>IF(AND('Suivi Agents'!$C7="Oui",'Suivi Agents'!$F7&gt;0,AF$4=1,AF$3&lt;=Paramètres!$B$10),AF7/'Suivi Agents'!$G7+AF7/1000+(1000-ROW())/10000000,-1)</f>
        <v>-1</v>
      </c>
      <c r="AG52" s="44">
        <f>IF(AND('Suivi Agents'!$C7="Oui",'Suivi Agents'!$F7&gt;0,AG$4=1,AG$3&lt;=Paramètres!$B$10),AG7/'Suivi Agents'!$G7+AG7/1000+(1000-ROW())/10000000,-1)</f>
        <v>-1</v>
      </c>
      <c r="AH52" s="44">
        <f>IF(AND('Suivi Agents'!$C7="Oui",'Suivi Agents'!$F7&gt;0,AH$4=1,AH$3&lt;=Paramètres!$B$10),AH7/'Suivi Agents'!$G7+AH7/1000+(1000-ROW())/10000000,-1)</f>
        <v>-1</v>
      </c>
    </row>
    <row r="53" spans="1:34" x14ac:dyDescent="0.45">
      <c r="A53" s="8" t="str">
        <f t="shared" si="0"/>
        <v>YANKEE</v>
      </c>
      <c r="B53" s="8" t="str">
        <f t="shared" si="0"/>
        <v>pvt_rgz_fadji.ftth</v>
      </c>
      <c r="D53" s="44">
        <f>IF(AND('Suivi Agents'!$C8="Oui",'Suivi Agents'!$F8&gt;0,D$4=1,D$3&lt;=Paramètres!$B$10),D8/'Suivi Agents'!$G8+D8/1000+(1000-ROW())/10000000,-1)</f>
        <v>9.4699999999999998E-5</v>
      </c>
      <c r="E53" s="44">
        <f>IF(AND('Suivi Agents'!$C8="Oui",'Suivi Agents'!$F8&gt;0,E$4=1,E$3&lt;=Paramètres!$B$10),E8/'Suivi Agents'!$G8+E8/1000+(1000-ROW())/10000000,-1)</f>
        <v>-1</v>
      </c>
      <c r="F53" s="44">
        <f>IF(AND('Suivi Agents'!$C8="Oui",'Suivi Agents'!$F8&gt;0,F$4=1,F$3&lt;=Paramètres!$B$10),F8/'Suivi Agents'!$G8+F8/1000+(1000-ROW())/10000000,-1)</f>
        <v>-1</v>
      </c>
      <c r="G53" s="44">
        <f>IF(AND('Suivi Agents'!$C8="Oui",'Suivi Agents'!$F8&gt;0,G$4=1,G$3&lt;=Paramètres!$B$10),G8/'Suivi Agents'!$G8+G8/1000+(1000-ROW())/10000000,-1)</f>
        <v>-1</v>
      </c>
      <c r="H53" s="44">
        <f>IF(AND('Suivi Agents'!$C8="Oui",'Suivi Agents'!$F8&gt;0,H$4=1,H$3&lt;=Paramètres!$B$10),H8/'Suivi Agents'!$G8+H8/1000+(1000-ROW())/10000000,-1)</f>
        <v>-1</v>
      </c>
      <c r="I53" s="44">
        <f>IF(AND('Suivi Agents'!$C8="Oui",'Suivi Agents'!$F8&gt;0,I$4=1,I$3&lt;=Paramètres!$B$10),I8/'Suivi Agents'!$G8+I8/1000+(1000-ROW())/10000000,-1)</f>
        <v>-1</v>
      </c>
      <c r="J53" s="44">
        <f>IF(AND('Suivi Agents'!$C8="Oui",'Suivi Agents'!$F8&gt;0,J$4=1,J$3&lt;=Paramètres!$B$10),J8/'Suivi Agents'!$G8+J8/1000+(1000-ROW())/10000000,-1)</f>
        <v>-1</v>
      </c>
      <c r="K53" s="44">
        <f>IF(AND('Suivi Agents'!$C8="Oui",'Suivi Agents'!$F8&gt;0,K$4=1,K$3&lt;=Paramètres!$B$10),K8/'Suivi Agents'!$G8+K8/1000+(1000-ROW())/10000000,-1)</f>
        <v>-1</v>
      </c>
      <c r="L53" s="44">
        <f>IF(AND('Suivi Agents'!$C8="Oui",'Suivi Agents'!$F8&gt;0,L$4=1,L$3&lt;=Paramètres!$B$10),L8/'Suivi Agents'!$G8+L8/1000+(1000-ROW())/10000000,-1)</f>
        <v>-1</v>
      </c>
      <c r="M53" s="44">
        <f>IF(AND('Suivi Agents'!$C8="Oui",'Suivi Agents'!$F8&gt;0,M$4=1,M$3&lt;=Paramètres!$B$10),M8/'Suivi Agents'!$G8+M8/1000+(1000-ROW())/10000000,-1)</f>
        <v>-1</v>
      </c>
      <c r="N53" s="44">
        <f>IF(AND('Suivi Agents'!$C8="Oui",'Suivi Agents'!$F8&gt;0,N$4=1,N$3&lt;=Paramètres!$B$10),N8/'Suivi Agents'!$G8+N8/1000+(1000-ROW())/10000000,-1)</f>
        <v>-1</v>
      </c>
      <c r="O53" s="44">
        <f>IF(AND('Suivi Agents'!$C8="Oui",'Suivi Agents'!$F8&gt;0,O$4=1,O$3&lt;=Paramètres!$B$10),O8/'Suivi Agents'!$G8+O8/1000+(1000-ROW())/10000000,-1)</f>
        <v>-1</v>
      </c>
      <c r="P53" s="44">
        <f>IF(AND('Suivi Agents'!$C8="Oui",'Suivi Agents'!$F8&gt;0,P$4=1,P$3&lt;=Paramètres!$B$10),P8/'Suivi Agents'!$G8+P8/1000+(1000-ROW())/10000000,-1)</f>
        <v>-1</v>
      </c>
      <c r="Q53" s="44">
        <f>IF(AND('Suivi Agents'!$C8="Oui",'Suivi Agents'!$F8&gt;0,Q$4=1,Q$3&lt;=Paramètres!$B$10),Q8/'Suivi Agents'!$G8+Q8/1000+(1000-ROW())/10000000,-1)</f>
        <v>-1</v>
      </c>
      <c r="R53" s="44">
        <f>IF(AND('Suivi Agents'!$C8="Oui",'Suivi Agents'!$F8&gt;0,R$4=1,R$3&lt;=Paramètres!$B$10),R8/'Suivi Agents'!$G8+R8/1000+(1000-ROW())/10000000,-1)</f>
        <v>-1</v>
      </c>
      <c r="S53" s="44">
        <f>IF(AND('Suivi Agents'!$C8="Oui",'Suivi Agents'!$F8&gt;0,S$4=1,S$3&lt;=Paramètres!$B$10),S8/'Suivi Agents'!$G8+S8/1000+(1000-ROW())/10000000,-1)</f>
        <v>-1</v>
      </c>
      <c r="T53" s="44">
        <f>IF(AND('Suivi Agents'!$C8="Oui",'Suivi Agents'!$F8&gt;0,T$4=1,T$3&lt;=Paramètres!$B$10),T8/'Suivi Agents'!$G8+T8/1000+(1000-ROW())/10000000,-1)</f>
        <v>-1</v>
      </c>
      <c r="U53" s="44">
        <f>IF(AND('Suivi Agents'!$C8="Oui",'Suivi Agents'!$F8&gt;0,U$4=1,U$3&lt;=Paramètres!$B$10),U8/'Suivi Agents'!$G8+U8/1000+(1000-ROW())/10000000,-1)</f>
        <v>-1</v>
      </c>
      <c r="V53" s="44">
        <f>IF(AND('Suivi Agents'!$C8="Oui",'Suivi Agents'!$F8&gt;0,V$4=1,V$3&lt;=Paramètres!$B$10),V8/'Suivi Agents'!$G8+V8/1000+(1000-ROW())/10000000,-1)</f>
        <v>-1</v>
      </c>
      <c r="W53" s="44">
        <f>IF(AND('Suivi Agents'!$C8="Oui",'Suivi Agents'!$F8&gt;0,W$4=1,W$3&lt;=Paramètres!$B$10),W8/'Suivi Agents'!$G8+W8/1000+(1000-ROW())/10000000,-1)</f>
        <v>-1</v>
      </c>
      <c r="X53" s="44">
        <f>IF(AND('Suivi Agents'!$C8="Oui",'Suivi Agents'!$F8&gt;0,X$4=1,X$3&lt;=Paramètres!$B$10),X8/'Suivi Agents'!$G8+X8/1000+(1000-ROW())/10000000,-1)</f>
        <v>-1</v>
      </c>
      <c r="Y53" s="44">
        <f>IF(AND('Suivi Agents'!$C8="Oui",'Suivi Agents'!$F8&gt;0,Y$4=1,Y$3&lt;=Paramètres!$B$10),Y8/'Suivi Agents'!$G8+Y8/1000+(1000-ROW())/10000000,-1)</f>
        <v>-1</v>
      </c>
      <c r="Z53" s="44">
        <f>IF(AND('Suivi Agents'!$C8="Oui",'Suivi Agents'!$F8&gt;0,Z$4=1,Z$3&lt;=Paramètres!$B$10),Z8/'Suivi Agents'!$G8+Z8/1000+(1000-ROW())/10000000,-1)</f>
        <v>-1</v>
      </c>
      <c r="AA53" s="44">
        <f>IF(AND('Suivi Agents'!$C8="Oui",'Suivi Agents'!$F8&gt;0,AA$4=1,AA$3&lt;=Paramètres!$B$10),AA8/'Suivi Agents'!$G8+AA8/1000+(1000-ROW())/10000000,-1)</f>
        <v>-1</v>
      </c>
      <c r="AB53" s="44">
        <f>IF(AND('Suivi Agents'!$C8="Oui",'Suivi Agents'!$F8&gt;0,AB$4=1,AB$3&lt;=Paramètres!$B$10),AB8/'Suivi Agents'!$G8+AB8/1000+(1000-ROW())/10000000,-1)</f>
        <v>-1</v>
      </c>
      <c r="AC53" s="44">
        <f>IF(AND('Suivi Agents'!$C8="Oui",'Suivi Agents'!$F8&gt;0,AC$4=1,AC$3&lt;=Paramètres!$B$10),AC8/'Suivi Agents'!$G8+AC8/1000+(1000-ROW())/10000000,-1)</f>
        <v>-1</v>
      </c>
      <c r="AD53" s="44">
        <f>IF(AND('Suivi Agents'!$C8="Oui",'Suivi Agents'!$F8&gt;0,AD$4=1,AD$3&lt;=Paramètres!$B$10),AD8/'Suivi Agents'!$G8+AD8/1000+(1000-ROW())/10000000,-1)</f>
        <v>-1</v>
      </c>
      <c r="AE53" s="44">
        <f>IF(AND('Suivi Agents'!$C8="Oui",'Suivi Agents'!$F8&gt;0,AE$4=1,AE$3&lt;=Paramètres!$B$10),AE8/'Suivi Agents'!$G8+AE8/1000+(1000-ROW())/10000000,-1)</f>
        <v>-1</v>
      </c>
      <c r="AF53" s="44">
        <f>IF(AND('Suivi Agents'!$C8="Oui",'Suivi Agents'!$F8&gt;0,AF$4=1,AF$3&lt;=Paramètres!$B$10),AF8/'Suivi Agents'!$G8+AF8/1000+(1000-ROW())/10000000,-1)</f>
        <v>-1</v>
      </c>
      <c r="AG53" s="44">
        <f>IF(AND('Suivi Agents'!$C8="Oui",'Suivi Agents'!$F8&gt;0,AG$4=1,AG$3&lt;=Paramètres!$B$10),AG8/'Suivi Agents'!$G8+AG8/1000+(1000-ROW())/10000000,-1)</f>
        <v>-1</v>
      </c>
      <c r="AH53" s="44">
        <f>IF(AND('Suivi Agents'!$C8="Oui",'Suivi Agents'!$F8&gt;0,AH$4=1,AH$3&lt;=Paramètres!$B$10),AH8/'Suivi Agents'!$G8+AH8/1000+(1000-ROW())/10000000,-1)</f>
        <v>-1</v>
      </c>
    </row>
    <row r="54" spans="1:34" x14ac:dyDescent="0.45">
      <c r="A54" s="8" t="str">
        <f t="shared" si="0"/>
        <v>YANKEE</v>
      </c>
      <c r="B54" s="8" t="str">
        <f t="shared" si="0"/>
        <v>pvt_rgz_dcharmelie.ftth</v>
      </c>
      <c r="D54" s="44">
        <f>IF(AND('Suivi Agents'!$C9="Oui",'Suivi Agents'!$F9&gt;0,D$4=1,D$3&lt;=Paramètres!$B$10),D9/'Suivi Agents'!$G9+D9/1000+(1000-ROW())/10000000,-1)</f>
        <v>9.4599999999999996E-5</v>
      </c>
      <c r="E54" s="44">
        <f>IF(AND('Suivi Agents'!$C9="Oui",'Suivi Agents'!$F9&gt;0,E$4=1,E$3&lt;=Paramètres!$B$10),E9/'Suivi Agents'!$G9+E9/1000+(1000-ROW())/10000000,-1)</f>
        <v>-1</v>
      </c>
      <c r="F54" s="44">
        <f>IF(AND('Suivi Agents'!$C9="Oui",'Suivi Agents'!$F9&gt;0,F$4=1,F$3&lt;=Paramètres!$B$10),F9/'Suivi Agents'!$G9+F9/1000+(1000-ROW())/10000000,-1)</f>
        <v>-1</v>
      </c>
      <c r="G54" s="44">
        <f>IF(AND('Suivi Agents'!$C9="Oui",'Suivi Agents'!$F9&gt;0,G$4=1,G$3&lt;=Paramètres!$B$10),G9/'Suivi Agents'!$G9+G9/1000+(1000-ROW())/10000000,-1)</f>
        <v>-1</v>
      </c>
      <c r="H54" s="44">
        <f>IF(AND('Suivi Agents'!$C9="Oui",'Suivi Agents'!$F9&gt;0,H$4=1,H$3&lt;=Paramètres!$B$10),H9/'Suivi Agents'!$G9+H9/1000+(1000-ROW())/10000000,-1)</f>
        <v>-1</v>
      </c>
      <c r="I54" s="44">
        <f>IF(AND('Suivi Agents'!$C9="Oui",'Suivi Agents'!$F9&gt;0,I$4=1,I$3&lt;=Paramètres!$B$10),I9/'Suivi Agents'!$G9+I9/1000+(1000-ROW())/10000000,-1)</f>
        <v>-1</v>
      </c>
      <c r="J54" s="44">
        <f>IF(AND('Suivi Agents'!$C9="Oui",'Suivi Agents'!$F9&gt;0,J$4=1,J$3&lt;=Paramètres!$B$10),J9/'Suivi Agents'!$G9+J9/1000+(1000-ROW())/10000000,-1)</f>
        <v>-1</v>
      </c>
      <c r="K54" s="44">
        <f>IF(AND('Suivi Agents'!$C9="Oui",'Suivi Agents'!$F9&gt;0,K$4=1,K$3&lt;=Paramètres!$B$10),K9/'Suivi Agents'!$G9+K9/1000+(1000-ROW())/10000000,-1)</f>
        <v>-1</v>
      </c>
      <c r="L54" s="44">
        <f>IF(AND('Suivi Agents'!$C9="Oui",'Suivi Agents'!$F9&gt;0,L$4=1,L$3&lt;=Paramètres!$B$10),L9/'Suivi Agents'!$G9+L9/1000+(1000-ROW())/10000000,-1)</f>
        <v>-1</v>
      </c>
      <c r="M54" s="44">
        <f>IF(AND('Suivi Agents'!$C9="Oui",'Suivi Agents'!$F9&gt;0,M$4=1,M$3&lt;=Paramètres!$B$10),M9/'Suivi Agents'!$G9+M9/1000+(1000-ROW())/10000000,-1)</f>
        <v>-1</v>
      </c>
      <c r="N54" s="44">
        <f>IF(AND('Suivi Agents'!$C9="Oui",'Suivi Agents'!$F9&gt;0,N$4=1,N$3&lt;=Paramètres!$B$10),N9/'Suivi Agents'!$G9+N9/1000+(1000-ROW())/10000000,-1)</f>
        <v>-1</v>
      </c>
      <c r="O54" s="44">
        <f>IF(AND('Suivi Agents'!$C9="Oui",'Suivi Agents'!$F9&gt;0,O$4=1,O$3&lt;=Paramètres!$B$10),O9/'Suivi Agents'!$G9+O9/1000+(1000-ROW())/10000000,-1)</f>
        <v>-1</v>
      </c>
      <c r="P54" s="44">
        <f>IF(AND('Suivi Agents'!$C9="Oui",'Suivi Agents'!$F9&gt;0,P$4=1,P$3&lt;=Paramètres!$B$10),P9/'Suivi Agents'!$G9+P9/1000+(1000-ROW())/10000000,-1)</f>
        <v>-1</v>
      </c>
      <c r="Q54" s="44">
        <f>IF(AND('Suivi Agents'!$C9="Oui",'Suivi Agents'!$F9&gt;0,Q$4=1,Q$3&lt;=Paramètres!$B$10),Q9/'Suivi Agents'!$G9+Q9/1000+(1000-ROW())/10000000,-1)</f>
        <v>-1</v>
      </c>
      <c r="R54" s="44">
        <f>IF(AND('Suivi Agents'!$C9="Oui",'Suivi Agents'!$F9&gt;0,R$4=1,R$3&lt;=Paramètres!$B$10),R9/'Suivi Agents'!$G9+R9/1000+(1000-ROW())/10000000,-1)</f>
        <v>-1</v>
      </c>
      <c r="S54" s="44">
        <f>IF(AND('Suivi Agents'!$C9="Oui",'Suivi Agents'!$F9&gt;0,S$4=1,S$3&lt;=Paramètres!$B$10),S9/'Suivi Agents'!$G9+S9/1000+(1000-ROW())/10000000,-1)</f>
        <v>-1</v>
      </c>
      <c r="T54" s="44">
        <f>IF(AND('Suivi Agents'!$C9="Oui",'Suivi Agents'!$F9&gt;0,T$4=1,T$3&lt;=Paramètres!$B$10),T9/'Suivi Agents'!$G9+T9/1000+(1000-ROW())/10000000,-1)</f>
        <v>-1</v>
      </c>
      <c r="U54" s="44">
        <f>IF(AND('Suivi Agents'!$C9="Oui",'Suivi Agents'!$F9&gt;0,U$4=1,U$3&lt;=Paramètres!$B$10),U9/'Suivi Agents'!$G9+U9/1000+(1000-ROW())/10000000,-1)</f>
        <v>-1</v>
      </c>
      <c r="V54" s="44">
        <f>IF(AND('Suivi Agents'!$C9="Oui",'Suivi Agents'!$F9&gt;0,V$4=1,V$3&lt;=Paramètres!$B$10),V9/'Suivi Agents'!$G9+V9/1000+(1000-ROW())/10000000,-1)</f>
        <v>-1</v>
      </c>
      <c r="W54" s="44">
        <f>IF(AND('Suivi Agents'!$C9="Oui",'Suivi Agents'!$F9&gt;0,W$4=1,W$3&lt;=Paramètres!$B$10),W9/'Suivi Agents'!$G9+W9/1000+(1000-ROW())/10000000,-1)</f>
        <v>-1</v>
      </c>
      <c r="X54" s="44">
        <f>IF(AND('Suivi Agents'!$C9="Oui",'Suivi Agents'!$F9&gt;0,X$4=1,X$3&lt;=Paramètres!$B$10),X9/'Suivi Agents'!$G9+X9/1000+(1000-ROW())/10000000,-1)</f>
        <v>-1</v>
      </c>
      <c r="Y54" s="44">
        <f>IF(AND('Suivi Agents'!$C9="Oui",'Suivi Agents'!$F9&gt;0,Y$4=1,Y$3&lt;=Paramètres!$B$10),Y9/'Suivi Agents'!$G9+Y9/1000+(1000-ROW())/10000000,-1)</f>
        <v>-1</v>
      </c>
      <c r="Z54" s="44">
        <f>IF(AND('Suivi Agents'!$C9="Oui",'Suivi Agents'!$F9&gt;0,Z$4=1,Z$3&lt;=Paramètres!$B$10),Z9/'Suivi Agents'!$G9+Z9/1000+(1000-ROW())/10000000,-1)</f>
        <v>-1</v>
      </c>
      <c r="AA54" s="44">
        <f>IF(AND('Suivi Agents'!$C9="Oui",'Suivi Agents'!$F9&gt;0,AA$4=1,AA$3&lt;=Paramètres!$B$10),AA9/'Suivi Agents'!$G9+AA9/1000+(1000-ROW())/10000000,-1)</f>
        <v>-1</v>
      </c>
      <c r="AB54" s="44">
        <f>IF(AND('Suivi Agents'!$C9="Oui",'Suivi Agents'!$F9&gt;0,AB$4=1,AB$3&lt;=Paramètres!$B$10),AB9/'Suivi Agents'!$G9+AB9/1000+(1000-ROW())/10000000,-1)</f>
        <v>-1</v>
      </c>
      <c r="AC54" s="44">
        <f>IF(AND('Suivi Agents'!$C9="Oui",'Suivi Agents'!$F9&gt;0,AC$4=1,AC$3&lt;=Paramètres!$B$10),AC9/'Suivi Agents'!$G9+AC9/1000+(1000-ROW())/10000000,-1)</f>
        <v>-1</v>
      </c>
      <c r="AD54" s="44">
        <f>IF(AND('Suivi Agents'!$C9="Oui",'Suivi Agents'!$F9&gt;0,AD$4=1,AD$3&lt;=Paramètres!$B$10),AD9/'Suivi Agents'!$G9+AD9/1000+(1000-ROW())/10000000,-1)</f>
        <v>-1</v>
      </c>
      <c r="AE54" s="44">
        <f>IF(AND('Suivi Agents'!$C9="Oui",'Suivi Agents'!$F9&gt;0,AE$4=1,AE$3&lt;=Paramètres!$B$10),AE9/'Suivi Agents'!$G9+AE9/1000+(1000-ROW())/10000000,-1)</f>
        <v>-1</v>
      </c>
      <c r="AF54" s="44">
        <f>IF(AND('Suivi Agents'!$C9="Oui",'Suivi Agents'!$F9&gt;0,AF$4=1,AF$3&lt;=Paramètres!$B$10),AF9/'Suivi Agents'!$G9+AF9/1000+(1000-ROW())/10000000,-1)</f>
        <v>-1</v>
      </c>
      <c r="AG54" s="44">
        <f>IF(AND('Suivi Agents'!$C9="Oui",'Suivi Agents'!$F9&gt;0,AG$4=1,AG$3&lt;=Paramètres!$B$10),AG9/'Suivi Agents'!$G9+AG9/1000+(1000-ROW())/10000000,-1)</f>
        <v>-1</v>
      </c>
      <c r="AH54" s="44">
        <f>IF(AND('Suivi Agents'!$C9="Oui",'Suivi Agents'!$F9&gt;0,AH$4=1,AH$3&lt;=Paramètres!$B$10),AH9/'Suivi Agents'!$G9+AH9/1000+(1000-ROW())/10000000,-1)</f>
        <v>-1</v>
      </c>
    </row>
    <row r="55" spans="1:34" x14ac:dyDescent="0.45">
      <c r="A55" s="8" t="str">
        <f t="shared" si="0"/>
        <v>YANKEE</v>
      </c>
      <c r="B55" s="8" t="str">
        <f t="shared" si="0"/>
        <v>pvt_rgz_gkohla.ftth</v>
      </c>
      <c r="D55" s="44">
        <f>IF(AND('Suivi Agents'!$C10="Oui",'Suivi Agents'!$F10&gt;0,D$4=1,D$3&lt;=Paramètres!$B$10),D10/'Suivi Agents'!$G10+D10/1000+(1000-ROW())/10000000,-1)</f>
        <v>9.4500000000000007E-5</v>
      </c>
      <c r="E55" s="44">
        <f>IF(AND('Suivi Agents'!$C10="Oui",'Suivi Agents'!$F10&gt;0,E$4=1,E$3&lt;=Paramètres!$B$10),E10/'Suivi Agents'!$G10+E10/1000+(1000-ROW())/10000000,-1)</f>
        <v>-1</v>
      </c>
      <c r="F55" s="44">
        <f>IF(AND('Suivi Agents'!$C10="Oui",'Suivi Agents'!$F10&gt;0,F$4=1,F$3&lt;=Paramètres!$B$10),F10/'Suivi Agents'!$G10+F10/1000+(1000-ROW())/10000000,-1)</f>
        <v>-1</v>
      </c>
      <c r="G55" s="44">
        <f>IF(AND('Suivi Agents'!$C10="Oui",'Suivi Agents'!$F10&gt;0,G$4=1,G$3&lt;=Paramètres!$B$10),G10/'Suivi Agents'!$G10+G10/1000+(1000-ROW())/10000000,-1)</f>
        <v>-1</v>
      </c>
      <c r="H55" s="44">
        <f>IF(AND('Suivi Agents'!$C10="Oui",'Suivi Agents'!$F10&gt;0,H$4=1,H$3&lt;=Paramètres!$B$10),H10/'Suivi Agents'!$G10+H10/1000+(1000-ROW())/10000000,-1)</f>
        <v>-1</v>
      </c>
      <c r="I55" s="44">
        <f>IF(AND('Suivi Agents'!$C10="Oui",'Suivi Agents'!$F10&gt;0,I$4=1,I$3&lt;=Paramètres!$B$10),I10/'Suivi Agents'!$G10+I10/1000+(1000-ROW())/10000000,-1)</f>
        <v>-1</v>
      </c>
      <c r="J55" s="44">
        <f>IF(AND('Suivi Agents'!$C10="Oui",'Suivi Agents'!$F10&gt;0,J$4=1,J$3&lt;=Paramètres!$B$10),J10/'Suivi Agents'!$G10+J10/1000+(1000-ROW())/10000000,-1)</f>
        <v>-1</v>
      </c>
      <c r="K55" s="44">
        <f>IF(AND('Suivi Agents'!$C10="Oui",'Suivi Agents'!$F10&gt;0,K$4=1,K$3&lt;=Paramètres!$B$10),K10/'Suivi Agents'!$G10+K10/1000+(1000-ROW())/10000000,-1)</f>
        <v>-1</v>
      </c>
      <c r="L55" s="44">
        <f>IF(AND('Suivi Agents'!$C10="Oui",'Suivi Agents'!$F10&gt;0,L$4=1,L$3&lt;=Paramètres!$B$10),L10/'Suivi Agents'!$G10+L10/1000+(1000-ROW())/10000000,-1)</f>
        <v>-1</v>
      </c>
      <c r="M55" s="44">
        <f>IF(AND('Suivi Agents'!$C10="Oui",'Suivi Agents'!$F10&gt;0,M$4=1,M$3&lt;=Paramètres!$B$10),M10/'Suivi Agents'!$G10+M10/1000+(1000-ROW())/10000000,-1)</f>
        <v>-1</v>
      </c>
      <c r="N55" s="44">
        <f>IF(AND('Suivi Agents'!$C10="Oui",'Suivi Agents'!$F10&gt;0,N$4=1,N$3&lt;=Paramètres!$B$10),N10/'Suivi Agents'!$G10+N10/1000+(1000-ROW())/10000000,-1)</f>
        <v>-1</v>
      </c>
      <c r="O55" s="44">
        <f>IF(AND('Suivi Agents'!$C10="Oui",'Suivi Agents'!$F10&gt;0,O$4=1,O$3&lt;=Paramètres!$B$10),O10/'Suivi Agents'!$G10+O10/1000+(1000-ROW())/10000000,-1)</f>
        <v>-1</v>
      </c>
      <c r="P55" s="44">
        <f>IF(AND('Suivi Agents'!$C10="Oui",'Suivi Agents'!$F10&gt;0,P$4=1,P$3&lt;=Paramètres!$B$10),P10/'Suivi Agents'!$G10+P10/1000+(1000-ROW())/10000000,-1)</f>
        <v>-1</v>
      </c>
      <c r="Q55" s="44">
        <f>IF(AND('Suivi Agents'!$C10="Oui",'Suivi Agents'!$F10&gt;0,Q$4=1,Q$3&lt;=Paramètres!$B$10),Q10/'Suivi Agents'!$G10+Q10/1000+(1000-ROW())/10000000,-1)</f>
        <v>-1</v>
      </c>
      <c r="R55" s="44">
        <f>IF(AND('Suivi Agents'!$C10="Oui",'Suivi Agents'!$F10&gt;0,R$4=1,R$3&lt;=Paramètres!$B$10),R10/'Suivi Agents'!$G10+R10/1000+(1000-ROW())/10000000,-1)</f>
        <v>-1</v>
      </c>
      <c r="S55" s="44">
        <f>IF(AND('Suivi Agents'!$C10="Oui",'Suivi Agents'!$F10&gt;0,S$4=1,S$3&lt;=Paramètres!$B$10),S10/'Suivi Agents'!$G10+S10/1000+(1000-ROW())/10000000,-1)</f>
        <v>-1</v>
      </c>
      <c r="T55" s="44">
        <f>IF(AND('Suivi Agents'!$C10="Oui",'Suivi Agents'!$F10&gt;0,T$4=1,T$3&lt;=Paramètres!$B$10),T10/'Suivi Agents'!$G10+T10/1000+(1000-ROW())/10000000,-1)</f>
        <v>-1</v>
      </c>
      <c r="U55" s="44">
        <f>IF(AND('Suivi Agents'!$C10="Oui",'Suivi Agents'!$F10&gt;0,U$4=1,U$3&lt;=Paramètres!$B$10),U10/'Suivi Agents'!$G10+U10/1000+(1000-ROW())/10000000,-1)</f>
        <v>-1</v>
      </c>
      <c r="V55" s="44">
        <f>IF(AND('Suivi Agents'!$C10="Oui",'Suivi Agents'!$F10&gt;0,V$4=1,V$3&lt;=Paramètres!$B$10),V10/'Suivi Agents'!$G10+V10/1000+(1000-ROW())/10000000,-1)</f>
        <v>-1</v>
      </c>
      <c r="W55" s="44">
        <f>IF(AND('Suivi Agents'!$C10="Oui",'Suivi Agents'!$F10&gt;0,W$4=1,W$3&lt;=Paramètres!$B$10),W10/'Suivi Agents'!$G10+W10/1000+(1000-ROW())/10000000,-1)</f>
        <v>-1</v>
      </c>
      <c r="X55" s="44">
        <f>IF(AND('Suivi Agents'!$C10="Oui",'Suivi Agents'!$F10&gt;0,X$4=1,X$3&lt;=Paramètres!$B$10),X10/'Suivi Agents'!$G10+X10/1000+(1000-ROW())/10000000,-1)</f>
        <v>-1</v>
      </c>
      <c r="Y55" s="44">
        <f>IF(AND('Suivi Agents'!$C10="Oui",'Suivi Agents'!$F10&gt;0,Y$4=1,Y$3&lt;=Paramètres!$B$10),Y10/'Suivi Agents'!$G10+Y10/1000+(1000-ROW())/10000000,-1)</f>
        <v>-1</v>
      </c>
      <c r="Z55" s="44">
        <f>IF(AND('Suivi Agents'!$C10="Oui",'Suivi Agents'!$F10&gt;0,Z$4=1,Z$3&lt;=Paramètres!$B$10),Z10/'Suivi Agents'!$G10+Z10/1000+(1000-ROW())/10000000,-1)</f>
        <v>-1</v>
      </c>
      <c r="AA55" s="44">
        <f>IF(AND('Suivi Agents'!$C10="Oui",'Suivi Agents'!$F10&gt;0,AA$4=1,AA$3&lt;=Paramètres!$B$10),AA10/'Suivi Agents'!$G10+AA10/1000+(1000-ROW())/10000000,-1)</f>
        <v>-1</v>
      </c>
      <c r="AB55" s="44">
        <f>IF(AND('Suivi Agents'!$C10="Oui",'Suivi Agents'!$F10&gt;0,AB$4=1,AB$3&lt;=Paramètres!$B$10),AB10/'Suivi Agents'!$G10+AB10/1000+(1000-ROW())/10000000,-1)</f>
        <v>-1</v>
      </c>
      <c r="AC55" s="44">
        <f>IF(AND('Suivi Agents'!$C10="Oui",'Suivi Agents'!$F10&gt;0,AC$4=1,AC$3&lt;=Paramètres!$B$10),AC10/'Suivi Agents'!$G10+AC10/1000+(1000-ROW())/10000000,-1)</f>
        <v>-1</v>
      </c>
      <c r="AD55" s="44">
        <f>IF(AND('Suivi Agents'!$C10="Oui",'Suivi Agents'!$F10&gt;0,AD$4=1,AD$3&lt;=Paramètres!$B$10),AD10/'Suivi Agents'!$G10+AD10/1000+(1000-ROW())/10000000,-1)</f>
        <v>-1</v>
      </c>
      <c r="AE55" s="44">
        <f>IF(AND('Suivi Agents'!$C10="Oui",'Suivi Agents'!$F10&gt;0,AE$4=1,AE$3&lt;=Paramètres!$B$10),AE10/'Suivi Agents'!$G10+AE10/1000+(1000-ROW())/10000000,-1)</f>
        <v>-1</v>
      </c>
      <c r="AF55" s="44">
        <f>IF(AND('Suivi Agents'!$C10="Oui",'Suivi Agents'!$F10&gt;0,AF$4=1,AF$3&lt;=Paramètres!$B$10),AF10/'Suivi Agents'!$G10+AF10/1000+(1000-ROW())/10000000,-1)</f>
        <v>-1</v>
      </c>
      <c r="AG55" s="44">
        <f>IF(AND('Suivi Agents'!$C10="Oui",'Suivi Agents'!$F10&gt;0,AG$4=1,AG$3&lt;=Paramètres!$B$10),AG10/'Suivi Agents'!$G10+AG10/1000+(1000-ROW())/10000000,-1)</f>
        <v>-1</v>
      </c>
      <c r="AH55" s="44">
        <f>IF(AND('Suivi Agents'!$C10="Oui",'Suivi Agents'!$F10&gt;0,AH$4=1,AH$3&lt;=Paramètres!$B$10),AH10/'Suivi Agents'!$G10+AH10/1000+(1000-ROW())/10000000,-1)</f>
        <v>-1</v>
      </c>
    </row>
    <row r="56" spans="1:34" x14ac:dyDescent="0.45">
      <c r="A56" s="8" t="str">
        <f t="shared" si="0"/>
        <v>YANKEE</v>
      </c>
      <c r="B56" s="8" t="str">
        <f t="shared" si="0"/>
        <v>pvt_rgz_rclotoe.ftth</v>
      </c>
      <c r="D56" s="44">
        <f>IF(AND('Suivi Agents'!$C11="Oui",'Suivi Agents'!$F11&gt;0,D$4=1,D$3&lt;=Paramètres!$B$10),D11/'Suivi Agents'!$G11+D11/1000+(1000-ROW())/10000000,-1)</f>
        <v>9.4400000000000004E-5</v>
      </c>
      <c r="E56" s="44">
        <f>IF(AND('Suivi Agents'!$C11="Oui",'Suivi Agents'!$F11&gt;0,E$4=1,E$3&lt;=Paramètres!$B$10),E11/'Suivi Agents'!$G11+E11/1000+(1000-ROW())/10000000,-1)</f>
        <v>-1</v>
      </c>
      <c r="F56" s="44">
        <f>IF(AND('Suivi Agents'!$C11="Oui",'Suivi Agents'!$F11&gt;0,F$4=1,F$3&lt;=Paramètres!$B$10),F11/'Suivi Agents'!$G11+F11/1000+(1000-ROW())/10000000,-1)</f>
        <v>-1</v>
      </c>
      <c r="G56" s="44">
        <f>IF(AND('Suivi Agents'!$C11="Oui",'Suivi Agents'!$F11&gt;0,G$4=1,G$3&lt;=Paramètres!$B$10),G11/'Suivi Agents'!$G11+G11/1000+(1000-ROW())/10000000,-1)</f>
        <v>-1</v>
      </c>
      <c r="H56" s="44">
        <f>IF(AND('Suivi Agents'!$C11="Oui",'Suivi Agents'!$F11&gt;0,H$4=1,H$3&lt;=Paramètres!$B$10),H11/'Suivi Agents'!$G11+H11/1000+(1000-ROW())/10000000,-1)</f>
        <v>-1</v>
      </c>
      <c r="I56" s="44">
        <f>IF(AND('Suivi Agents'!$C11="Oui",'Suivi Agents'!$F11&gt;0,I$4=1,I$3&lt;=Paramètres!$B$10),I11/'Suivi Agents'!$G11+I11/1000+(1000-ROW())/10000000,-1)</f>
        <v>-1</v>
      </c>
      <c r="J56" s="44">
        <f>IF(AND('Suivi Agents'!$C11="Oui",'Suivi Agents'!$F11&gt;0,J$4=1,J$3&lt;=Paramètres!$B$10),J11/'Suivi Agents'!$G11+J11/1000+(1000-ROW())/10000000,-1)</f>
        <v>-1</v>
      </c>
      <c r="K56" s="44">
        <f>IF(AND('Suivi Agents'!$C11="Oui",'Suivi Agents'!$F11&gt;0,K$4=1,K$3&lt;=Paramètres!$B$10),K11/'Suivi Agents'!$G11+K11/1000+(1000-ROW())/10000000,-1)</f>
        <v>-1</v>
      </c>
      <c r="L56" s="44">
        <f>IF(AND('Suivi Agents'!$C11="Oui",'Suivi Agents'!$F11&gt;0,L$4=1,L$3&lt;=Paramètres!$B$10),L11/'Suivi Agents'!$G11+L11/1000+(1000-ROW())/10000000,-1)</f>
        <v>-1</v>
      </c>
      <c r="M56" s="44">
        <f>IF(AND('Suivi Agents'!$C11="Oui",'Suivi Agents'!$F11&gt;0,M$4=1,M$3&lt;=Paramètres!$B$10),M11/'Suivi Agents'!$G11+M11/1000+(1000-ROW())/10000000,-1)</f>
        <v>-1</v>
      </c>
      <c r="N56" s="44">
        <f>IF(AND('Suivi Agents'!$C11="Oui",'Suivi Agents'!$F11&gt;0,N$4=1,N$3&lt;=Paramètres!$B$10),N11/'Suivi Agents'!$G11+N11/1000+(1000-ROW())/10000000,-1)</f>
        <v>-1</v>
      </c>
      <c r="O56" s="44">
        <f>IF(AND('Suivi Agents'!$C11="Oui",'Suivi Agents'!$F11&gt;0,O$4=1,O$3&lt;=Paramètres!$B$10),O11/'Suivi Agents'!$G11+O11/1000+(1000-ROW())/10000000,-1)</f>
        <v>-1</v>
      </c>
      <c r="P56" s="44">
        <f>IF(AND('Suivi Agents'!$C11="Oui",'Suivi Agents'!$F11&gt;0,P$4=1,P$3&lt;=Paramètres!$B$10),P11/'Suivi Agents'!$G11+P11/1000+(1000-ROW())/10000000,-1)</f>
        <v>-1</v>
      </c>
      <c r="Q56" s="44">
        <f>IF(AND('Suivi Agents'!$C11="Oui",'Suivi Agents'!$F11&gt;0,Q$4=1,Q$3&lt;=Paramètres!$B$10),Q11/'Suivi Agents'!$G11+Q11/1000+(1000-ROW())/10000000,-1)</f>
        <v>-1</v>
      </c>
      <c r="R56" s="44">
        <f>IF(AND('Suivi Agents'!$C11="Oui",'Suivi Agents'!$F11&gt;0,R$4=1,R$3&lt;=Paramètres!$B$10),R11/'Suivi Agents'!$G11+R11/1000+(1000-ROW())/10000000,-1)</f>
        <v>-1</v>
      </c>
      <c r="S56" s="44">
        <f>IF(AND('Suivi Agents'!$C11="Oui",'Suivi Agents'!$F11&gt;0,S$4=1,S$3&lt;=Paramètres!$B$10),S11/'Suivi Agents'!$G11+S11/1000+(1000-ROW())/10000000,-1)</f>
        <v>-1</v>
      </c>
      <c r="T56" s="44">
        <f>IF(AND('Suivi Agents'!$C11="Oui",'Suivi Agents'!$F11&gt;0,T$4=1,T$3&lt;=Paramètres!$B$10),T11/'Suivi Agents'!$G11+T11/1000+(1000-ROW())/10000000,-1)</f>
        <v>-1</v>
      </c>
      <c r="U56" s="44">
        <f>IF(AND('Suivi Agents'!$C11="Oui",'Suivi Agents'!$F11&gt;0,U$4=1,U$3&lt;=Paramètres!$B$10),U11/'Suivi Agents'!$G11+U11/1000+(1000-ROW())/10000000,-1)</f>
        <v>-1</v>
      </c>
      <c r="V56" s="44">
        <f>IF(AND('Suivi Agents'!$C11="Oui",'Suivi Agents'!$F11&gt;0,V$4=1,V$3&lt;=Paramètres!$B$10),V11/'Suivi Agents'!$G11+V11/1000+(1000-ROW())/10000000,-1)</f>
        <v>-1</v>
      </c>
      <c r="W56" s="44">
        <f>IF(AND('Suivi Agents'!$C11="Oui",'Suivi Agents'!$F11&gt;0,W$4=1,W$3&lt;=Paramètres!$B$10),W11/'Suivi Agents'!$G11+W11/1000+(1000-ROW())/10000000,-1)</f>
        <v>-1</v>
      </c>
      <c r="X56" s="44">
        <f>IF(AND('Suivi Agents'!$C11="Oui",'Suivi Agents'!$F11&gt;0,X$4=1,X$3&lt;=Paramètres!$B$10),X11/'Suivi Agents'!$G11+X11/1000+(1000-ROW())/10000000,-1)</f>
        <v>-1</v>
      </c>
      <c r="Y56" s="44">
        <f>IF(AND('Suivi Agents'!$C11="Oui",'Suivi Agents'!$F11&gt;0,Y$4=1,Y$3&lt;=Paramètres!$B$10),Y11/'Suivi Agents'!$G11+Y11/1000+(1000-ROW())/10000000,-1)</f>
        <v>-1</v>
      </c>
      <c r="Z56" s="44">
        <f>IF(AND('Suivi Agents'!$C11="Oui",'Suivi Agents'!$F11&gt;0,Z$4=1,Z$3&lt;=Paramètres!$B$10),Z11/'Suivi Agents'!$G11+Z11/1000+(1000-ROW())/10000000,-1)</f>
        <v>-1</v>
      </c>
      <c r="AA56" s="44">
        <f>IF(AND('Suivi Agents'!$C11="Oui",'Suivi Agents'!$F11&gt;0,AA$4=1,AA$3&lt;=Paramètres!$B$10),AA11/'Suivi Agents'!$G11+AA11/1000+(1000-ROW())/10000000,-1)</f>
        <v>-1</v>
      </c>
      <c r="AB56" s="44">
        <f>IF(AND('Suivi Agents'!$C11="Oui",'Suivi Agents'!$F11&gt;0,AB$4=1,AB$3&lt;=Paramètres!$B$10),AB11/'Suivi Agents'!$G11+AB11/1000+(1000-ROW())/10000000,-1)</f>
        <v>-1</v>
      </c>
      <c r="AC56" s="44">
        <f>IF(AND('Suivi Agents'!$C11="Oui",'Suivi Agents'!$F11&gt;0,AC$4=1,AC$3&lt;=Paramètres!$B$10),AC11/'Suivi Agents'!$G11+AC11/1000+(1000-ROW())/10000000,-1)</f>
        <v>-1</v>
      </c>
      <c r="AD56" s="44">
        <f>IF(AND('Suivi Agents'!$C11="Oui",'Suivi Agents'!$F11&gt;0,AD$4=1,AD$3&lt;=Paramètres!$B$10),AD11/'Suivi Agents'!$G11+AD11/1000+(1000-ROW())/10000000,-1)</f>
        <v>-1</v>
      </c>
      <c r="AE56" s="44">
        <f>IF(AND('Suivi Agents'!$C11="Oui",'Suivi Agents'!$F11&gt;0,AE$4=1,AE$3&lt;=Paramètres!$B$10),AE11/'Suivi Agents'!$G11+AE11/1000+(1000-ROW())/10000000,-1)</f>
        <v>-1</v>
      </c>
      <c r="AF56" s="44">
        <f>IF(AND('Suivi Agents'!$C11="Oui",'Suivi Agents'!$F11&gt;0,AF$4=1,AF$3&lt;=Paramètres!$B$10),AF11/'Suivi Agents'!$G11+AF11/1000+(1000-ROW())/10000000,-1)</f>
        <v>-1</v>
      </c>
      <c r="AG56" s="44">
        <f>IF(AND('Suivi Agents'!$C11="Oui",'Suivi Agents'!$F11&gt;0,AG$4=1,AG$3&lt;=Paramètres!$B$10),AG11/'Suivi Agents'!$G11+AG11/1000+(1000-ROW())/10000000,-1)</f>
        <v>-1</v>
      </c>
      <c r="AH56" s="44">
        <f>IF(AND('Suivi Agents'!$C11="Oui",'Suivi Agents'!$F11&gt;0,AH$4=1,AH$3&lt;=Paramètres!$B$10),AH11/'Suivi Agents'!$G11+AH11/1000+(1000-ROW())/10000000,-1)</f>
        <v>-1</v>
      </c>
    </row>
    <row r="57" spans="1:34" x14ac:dyDescent="0.45">
      <c r="A57" s="8" t="str">
        <f t="shared" si="0"/>
        <v>YANKEE</v>
      </c>
      <c r="B57" s="8" t="str">
        <f t="shared" si="0"/>
        <v>pvt_rgz_aconstant.ftth</v>
      </c>
      <c r="D57" s="44">
        <f>IF(AND('Suivi Agents'!$C12="Oui",'Suivi Agents'!$F12&gt;0,D$4=1,D$3&lt;=Paramètres!$B$10),D12/'Suivi Agents'!$G12+D12/1000+(1000-ROW())/10000000,-1)</f>
        <v>9.4300000000000002E-5</v>
      </c>
      <c r="E57" s="44">
        <f>IF(AND('Suivi Agents'!$C12="Oui",'Suivi Agents'!$F12&gt;0,E$4=1,E$3&lt;=Paramètres!$B$10),E12/'Suivi Agents'!$G12+E12/1000+(1000-ROW())/10000000,-1)</f>
        <v>-1</v>
      </c>
      <c r="F57" s="44">
        <f>IF(AND('Suivi Agents'!$C12="Oui",'Suivi Agents'!$F12&gt;0,F$4=1,F$3&lt;=Paramètres!$B$10),F12/'Suivi Agents'!$G12+F12/1000+(1000-ROW())/10000000,-1)</f>
        <v>-1</v>
      </c>
      <c r="G57" s="44">
        <f>IF(AND('Suivi Agents'!$C12="Oui",'Suivi Agents'!$F12&gt;0,G$4=1,G$3&lt;=Paramètres!$B$10),G12/'Suivi Agents'!$G12+G12/1000+(1000-ROW())/10000000,-1)</f>
        <v>-1</v>
      </c>
      <c r="H57" s="44">
        <f>IF(AND('Suivi Agents'!$C12="Oui",'Suivi Agents'!$F12&gt;0,H$4=1,H$3&lt;=Paramètres!$B$10),H12/'Suivi Agents'!$G12+H12/1000+(1000-ROW())/10000000,-1)</f>
        <v>-1</v>
      </c>
      <c r="I57" s="44">
        <f>IF(AND('Suivi Agents'!$C12="Oui",'Suivi Agents'!$F12&gt;0,I$4=1,I$3&lt;=Paramètres!$B$10),I12/'Suivi Agents'!$G12+I12/1000+(1000-ROW())/10000000,-1)</f>
        <v>-1</v>
      </c>
      <c r="J57" s="44">
        <f>IF(AND('Suivi Agents'!$C12="Oui",'Suivi Agents'!$F12&gt;0,J$4=1,J$3&lt;=Paramètres!$B$10),J12/'Suivi Agents'!$G12+J12/1000+(1000-ROW())/10000000,-1)</f>
        <v>-1</v>
      </c>
      <c r="K57" s="44">
        <f>IF(AND('Suivi Agents'!$C12="Oui",'Suivi Agents'!$F12&gt;0,K$4=1,K$3&lt;=Paramètres!$B$10),K12/'Suivi Agents'!$G12+K12/1000+(1000-ROW())/10000000,-1)</f>
        <v>-1</v>
      </c>
      <c r="L57" s="44">
        <f>IF(AND('Suivi Agents'!$C12="Oui",'Suivi Agents'!$F12&gt;0,L$4=1,L$3&lt;=Paramètres!$B$10),L12/'Suivi Agents'!$G12+L12/1000+(1000-ROW())/10000000,-1)</f>
        <v>-1</v>
      </c>
      <c r="M57" s="44">
        <f>IF(AND('Suivi Agents'!$C12="Oui",'Suivi Agents'!$F12&gt;0,M$4=1,M$3&lt;=Paramètres!$B$10),M12/'Suivi Agents'!$G12+M12/1000+(1000-ROW())/10000000,-1)</f>
        <v>-1</v>
      </c>
      <c r="N57" s="44">
        <f>IF(AND('Suivi Agents'!$C12="Oui",'Suivi Agents'!$F12&gt;0,N$4=1,N$3&lt;=Paramètres!$B$10),N12/'Suivi Agents'!$G12+N12/1000+(1000-ROW())/10000000,-1)</f>
        <v>-1</v>
      </c>
      <c r="O57" s="44">
        <f>IF(AND('Suivi Agents'!$C12="Oui",'Suivi Agents'!$F12&gt;0,O$4=1,O$3&lt;=Paramètres!$B$10),O12/'Suivi Agents'!$G12+O12/1000+(1000-ROW())/10000000,-1)</f>
        <v>-1</v>
      </c>
      <c r="P57" s="44">
        <f>IF(AND('Suivi Agents'!$C12="Oui",'Suivi Agents'!$F12&gt;0,P$4=1,P$3&lt;=Paramètres!$B$10),P12/'Suivi Agents'!$G12+P12/1000+(1000-ROW())/10000000,-1)</f>
        <v>-1</v>
      </c>
      <c r="Q57" s="44">
        <f>IF(AND('Suivi Agents'!$C12="Oui",'Suivi Agents'!$F12&gt;0,Q$4=1,Q$3&lt;=Paramètres!$B$10),Q12/'Suivi Agents'!$G12+Q12/1000+(1000-ROW())/10000000,-1)</f>
        <v>-1</v>
      </c>
      <c r="R57" s="44">
        <f>IF(AND('Suivi Agents'!$C12="Oui",'Suivi Agents'!$F12&gt;0,R$4=1,R$3&lt;=Paramètres!$B$10),R12/'Suivi Agents'!$G12+R12/1000+(1000-ROW())/10000000,-1)</f>
        <v>-1</v>
      </c>
      <c r="S57" s="44">
        <f>IF(AND('Suivi Agents'!$C12="Oui",'Suivi Agents'!$F12&gt;0,S$4=1,S$3&lt;=Paramètres!$B$10),S12/'Suivi Agents'!$G12+S12/1000+(1000-ROW())/10000000,-1)</f>
        <v>-1</v>
      </c>
      <c r="T57" s="44">
        <f>IF(AND('Suivi Agents'!$C12="Oui",'Suivi Agents'!$F12&gt;0,T$4=1,T$3&lt;=Paramètres!$B$10),T12/'Suivi Agents'!$G12+T12/1000+(1000-ROW())/10000000,-1)</f>
        <v>-1</v>
      </c>
      <c r="U57" s="44">
        <f>IF(AND('Suivi Agents'!$C12="Oui",'Suivi Agents'!$F12&gt;0,U$4=1,U$3&lt;=Paramètres!$B$10),U12/'Suivi Agents'!$G12+U12/1000+(1000-ROW())/10000000,-1)</f>
        <v>-1</v>
      </c>
      <c r="V57" s="44">
        <f>IF(AND('Suivi Agents'!$C12="Oui",'Suivi Agents'!$F12&gt;0,V$4=1,V$3&lt;=Paramètres!$B$10),V12/'Suivi Agents'!$G12+V12/1000+(1000-ROW())/10000000,-1)</f>
        <v>-1</v>
      </c>
      <c r="W57" s="44">
        <f>IF(AND('Suivi Agents'!$C12="Oui",'Suivi Agents'!$F12&gt;0,W$4=1,W$3&lt;=Paramètres!$B$10),W12/'Suivi Agents'!$G12+W12/1000+(1000-ROW())/10000000,-1)</f>
        <v>-1</v>
      </c>
      <c r="X57" s="44">
        <f>IF(AND('Suivi Agents'!$C12="Oui",'Suivi Agents'!$F12&gt;0,X$4=1,X$3&lt;=Paramètres!$B$10),X12/'Suivi Agents'!$G12+X12/1000+(1000-ROW())/10000000,-1)</f>
        <v>-1</v>
      </c>
      <c r="Y57" s="44">
        <f>IF(AND('Suivi Agents'!$C12="Oui",'Suivi Agents'!$F12&gt;0,Y$4=1,Y$3&lt;=Paramètres!$B$10),Y12/'Suivi Agents'!$G12+Y12/1000+(1000-ROW())/10000000,-1)</f>
        <v>-1</v>
      </c>
      <c r="Z57" s="44">
        <f>IF(AND('Suivi Agents'!$C12="Oui",'Suivi Agents'!$F12&gt;0,Z$4=1,Z$3&lt;=Paramètres!$B$10),Z12/'Suivi Agents'!$G12+Z12/1000+(1000-ROW())/10000000,-1)</f>
        <v>-1</v>
      </c>
      <c r="AA57" s="44">
        <f>IF(AND('Suivi Agents'!$C12="Oui",'Suivi Agents'!$F12&gt;0,AA$4=1,AA$3&lt;=Paramètres!$B$10),AA12/'Suivi Agents'!$G12+AA12/1000+(1000-ROW())/10000000,-1)</f>
        <v>-1</v>
      </c>
      <c r="AB57" s="44">
        <f>IF(AND('Suivi Agents'!$C12="Oui",'Suivi Agents'!$F12&gt;0,AB$4=1,AB$3&lt;=Paramètres!$B$10),AB12/'Suivi Agents'!$G12+AB12/1000+(1000-ROW())/10000000,-1)</f>
        <v>-1</v>
      </c>
      <c r="AC57" s="44">
        <f>IF(AND('Suivi Agents'!$C12="Oui",'Suivi Agents'!$F12&gt;0,AC$4=1,AC$3&lt;=Paramètres!$B$10),AC12/'Suivi Agents'!$G12+AC12/1000+(1000-ROW())/10000000,-1)</f>
        <v>-1</v>
      </c>
      <c r="AD57" s="44">
        <f>IF(AND('Suivi Agents'!$C12="Oui",'Suivi Agents'!$F12&gt;0,AD$4=1,AD$3&lt;=Paramètres!$B$10),AD12/'Suivi Agents'!$G12+AD12/1000+(1000-ROW())/10000000,-1)</f>
        <v>-1</v>
      </c>
      <c r="AE57" s="44">
        <f>IF(AND('Suivi Agents'!$C12="Oui",'Suivi Agents'!$F12&gt;0,AE$4=1,AE$3&lt;=Paramètres!$B$10),AE12/'Suivi Agents'!$G12+AE12/1000+(1000-ROW())/10000000,-1)</f>
        <v>-1</v>
      </c>
      <c r="AF57" s="44">
        <f>IF(AND('Suivi Agents'!$C12="Oui",'Suivi Agents'!$F12&gt;0,AF$4=1,AF$3&lt;=Paramètres!$B$10),AF12/'Suivi Agents'!$G12+AF12/1000+(1000-ROW())/10000000,-1)</f>
        <v>-1</v>
      </c>
      <c r="AG57" s="44">
        <f>IF(AND('Suivi Agents'!$C12="Oui",'Suivi Agents'!$F12&gt;0,AG$4=1,AG$3&lt;=Paramètres!$B$10),AG12/'Suivi Agents'!$G12+AG12/1000+(1000-ROW())/10000000,-1)</f>
        <v>-1</v>
      </c>
      <c r="AH57" s="44">
        <f>IF(AND('Suivi Agents'!$C12="Oui",'Suivi Agents'!$F12&gt;0,AH$4=1,AH$3&lt;=Paramètres!$B$10),AH12/'Suivi Agents'!$G12+AH12/1000+(1000-ROW())/10000000,-1)</f>
        <v>-1</v>
      </c>
    </row>
    <row r="58" spans="1:34" x14ac:dyDescent="0.45">
      <c r="A58" s="8" t="str">
        <f t="shared" si="0"/>
        <v>YANKEE</v>
      </c>
      <c r="B58" s="8" t="str">
        <f t="shared" si="0"/>
        <v>pvt_rgz_cmessinou.ftth</v>
      </c>
      <c r="D58" s="44">
        <f>IF(AND('Suivi Agents'!$C13="Oui",'Suivi Agents'!$F13&gt;0,D$4=1,D$3&lt;=Paramètres!$B$10),D13/'Suivi Agents'!$G13+D13/1000+(1000-ROW())/10000000,-1)</f>
        <v>9.4199999999999999E-5</v>
      </c>
      <c r="E58" s="44">
        <f>IF(AND('Suivi Agents'!$C13="Oui",'Suivi Agents'!$F13&gt;0,E$4=1,E$3&lt;=Paramètres!$B$10),E13/'Suivi Agents'!$G13+E13/1000+(1000-ROW())/10000000,-1)</f>
        <v>-1</v>
      </c>
      <c r="F58" s="44">
        <f>IF(AND('Suivi Agents'!$C13="Oui",'Suivi Agents'!$F13&gt;0,F$4=1,F$3&lt;=Paramètres!$B$10),F13/'Suivi Agents'!$G13+F13/1000+(1000-ROW())/10000000,-1)</f>
        <v>-1</v>
      </c>
      <c r="G58" s="44">
        <f>IF(AND('Suivi Agents'!$C13="Oui",'Suivi Agents'!$F13&gt;0,G$4=1,G$3&lt;=Paramètres!$B$10),G13/'Suivi Agents'!$G13+G13/1000+(1000-ROW())/10000000,-1)</f>
        <v>-1</v>
      </c>
      <c r="H58" s="44">
        <f>IF(AND('Suivi Agents'!$C13="Oui",'Suivi Agents'!$F13&gt;0,H$4=1,H$3&lt;=Paramètres!$B$10),H13/'Suivi Agents'!$G13+H13/1000+(1000-ROW())/10000000,-1)</f>
        <v>-1</v>
      </c>
      <c r="I58" s="44">
        <f>IF(AND('Suivi Agents'!$C13="Oui",'Suivi Agents'!$F13&gt;0,I$4=1,I$3&lt;=Paramètres!$B$10),I13/'Suivi Agents'!$G13+I13/1000+(1000-ROW())/10000000,-1)</f>
        <v>-1</v>
      </c>
      <c r="J58" s="44">
        <f>IF(AND('Suivi Agents'!$C13="Oui",'Suivi Agents'!$F13&gt;0,J$4=1,J$3&lt;=Paramètres!$B$10),J13/'Suivi Agents'!$G13+J13/1000+(1000-ROW())/10000000,-1)</f>
        <v>-1</v>
      </c>
      <c r="K58" s="44">
        <f>IF(AND('Suivi Agents'!$C13="Oui",'Suivi Agents'!$F13&gt;0,K$4=1,K$3&lt;=Paramètres!$B$10),K13/'Suivi Agents'!$G13+K13/1000+(1000-ROW())/10000000,-1)</f>
        <v>-1</v>
      </c>
      <c r="L58" s="44">
        <f>IF(AND('Suivi Agents'!$C13="Oui",'Suivi Agents'!$F13&gt;0,L$4=1,L$3&lt;=Paramètres!$B$10),L13/'Suivi Agents'!$G13+L13/1000+(1000-ROW())/10000000,-1)</f>
        <v>-1</v>
      </c>
      <c r="M58" s="44">
        <f>IF(AND('Suivi Agents'!$C13="Oui",'Suivi Agents'!$F13&gt;0,M$4=1,M$3&lt;=Paramètres!$B$10),M13/'Suivi Agents'!$G13+M13/1000+(1000-ROW())/10000000,-1)</f>
        <v>-1</v>
      </c>
      <c r="N58" s="44">
        <f>IF(AND('Suivi Agents'!$C13="Oui",'Suivi Agents'!$F13&gt;0,N$4=1,N$3&lt;=Paramètres!$B$10),N13/'Suivi Agents'!$G13+N13/1000+(1000-ROW())/10000000,-1)</f>
        <v>-1</v>
      </c>
      <c r="O58" s="44">
        <f>IF(AND('Suivi Agents'!$C13="Oui",'Suivi Agents'!$F13&gt;0,O$4=1,O$3&lt;=Paramètres!$B$10),O13/'Suivi Agents'!$G13+O13/1000+(1000-ROW())/10000000,-1)</f>
        <v>-1</v>
      </c>
      <c r="P58" s="44">
        <f>IF(AND('Suivi Agents'!$C13="Oui",'Suivi Agents'!$F13&gt;0,P$4=1,P$3&lt;=Paramètres!$B$10),P13/'Suivi Agents'!$G13+P13/1000+(1000-ROW())/10000000,-1)</f>
        <v>-1</v>
      </c>
      <c r="Q58" s="44">
        <f>IF(AND('Suivi Agents'!$C13="Oui",'Suivi Agents'!$F13&gt;0,Q$4=1,Q$3&lt;=Paramètres!$B$10),Q13/'Suivi Agents'!$G13+Q13/1000+(1000-ROW())/10000000,-1)</f>
        <v>-1</v>
      </c>
      <c r="R58" s="44">
        <f>IF(AND('Suivi Agents'!$C13="Oui",'Suivi Agents'!$F13&gt;0,R$4=1,R$3&lt;=Paramètres!$B$10),R13/'Suivi Agents'!$G13+R13/1000+(1000-ROW())/10000000,-1)</f>
        <v>-1</v>
      </c>
      <c r="S58" s="44">
        <f>IF(AND('Suivi Agents'!$C13="Oui",'Suivi Agents'!$F13&gt;0,S$4=1,S$3&lt;=Paramètres!$B$10),S13/'Suivi Agents'!$G13+S13/1000+(1000-ROW())/10000000,-1)</f>
        <v>-1</v>
      </c>
      <c r="T58" s="44">
        <f>IF(AND('Suivi Agents'!$C13="Oui",'Suivi Agents'!$F13&gt;0,T$4=1,T$3&lt;=Paramètres!$B$10),T13/'Suivi Agents'!$G13+T13/1000+(1000-ROW())/10000000,-1)</f>
        <v>-1</v>
      </c>
      <c r="U58" s="44">
        <f>IF(AND('Suivi Agents'!$C13="Oui",'Suivi Agents'!$F13&gt;0,U$4=1,U$3&lt;=Paramètres!$B$10),U13/'Suivi Agents'!$G13+U13/1000+(1000-ROW())/10000000,-1)</f>
        <v>-1</v>
      </c>
      <c r="V58" s="44">
        <f>IF(AND('Suivi Agents'!$C13="Oui",'Suivi Agents'!$F13&gt;0,V$4=1,V$3&lt;=Paramètres!$B$10),V13/'Suivi Agents'!$G13+V13/1000+(1000-ROW())/10000000,-1)</f>
        <v>-1</v>
      </c>
      <c r="W58" s="44">
        <f>IF(AND('Suivi Agents'!$C13="Oui",'Suivi Agents'!$F13&gt;0,W$4=1,W$3&lt;=Paramètres!$B$10),W13/'Suivi Agents'!$G13+W13/1000+(1000-ROW())/10000000,-1)</f>
        <v>-1</v>
      </c>
      <c r="X58" s="44">
        <f>IF(AND('Suivi Agents'!$C13="Oui",'Suivi Agents'!$F13&gt;0,X$4=1,X$3&lt;=Paramètres!$B$10),X13/'Suivi Agents'!$G13+X13/1000+(1000-ROW())/10000000,-1)</f>
        <v>-1</v>
      </c>
      <c r="Y58" s="44">
        <f>IF(AND('Suivi Agents'!$C13="Oui",'Suivi Agents'!$F13&gt;0,Y$4=1,Y$3&lt;=Paramètres!$B$10),Y13/'Suivi Agents'!$G13+Y13/1000+(1000-ROW())/10000000,-1)</f>
        <v>-1</v>
      </c>
      <c r="Z58" s="44">
        <f>IF(AND('Suivi Agents'!$C13="Oui",'Suivi Agents'!$F13&gt;0,Z$4=1,Z$3&lt;=Paramètres!$B$10),Z13/'Suivi Agents'!$G13+Z13/1000+(1000-ROW())/10000000,-1)</f>
        <v>-1</v>
      </c>
      <c r="AA58" s="44">
        <f>IF(AND('Suivi Agents'!$C13="Oui",'Suivi Agents'!$F13&gt;0,AA$4=1,AA$3&lt;=Paramètres!$B$10),AA13/'Suivi Agents'!$G13+AA13/1000+(1000-ROW())/10000000,-1)</f>
        <v>-1</v>
      </c>
      <c r="AB58" s="44">
        <f>IF(AND('Suivi Agents'!$C13="Oui",'Suivi Agents'!$F13&gt;0,AB$4=1,AB$3&lt;=Paramètres!$B$10),AB13/'Suivi Agents'!$G13+AB13/1000+(1000-ROW())/10000000,-1)</f>
        <v>-1</v>
      </c>
      <c r="AC58" s="44">
        <f>IF(AND('Suivi Agents'!$C13="Oui",'Suivi Agents'!$F13&gt;0,AC$4=1,AC$3&lt;=Paramètres!$B$10),AC13/'Suivi Agents'!$G13+AC13/1000+(1000-ROW())/10000000,-1)</f>
        <v>-1</v>
      </c>
      <c r="AD58" s="44">
        <f>IF(AND('Suivi Agents'!$C13="Oui",'Suivi Agents'!$F13&gt;0,AD$4=1,AD$3&lt;=Paramètres!$B$10),AD13/'Suivi Agents'!$G13+AD13/1000+(1000-ROW())/10000000,-1)</f>
        <v>-1</v>
      </c>
      <c r="AE58" s="44">
        <f>IF(AND('Suivi Agents'!$C13="Oui",'Suivi Agents'!$F13&gt;0,AE$4=1,AE$3&lt;=Paramètres!$B$10),AE13/'Suivi Agents'!$G13+AE13/1000+(1000-ROW())/10000000,-1)</f>
        <v>-1</v>
      </c>
      <c r="AF58" s="44">
        <f>IF(AND('Suivi Agents'!$C13="Oui",'Suivi Agents'!$F13&gt;0,AF$4=1,AF$3&lt;=Paramètres!$B$10),AF13/'Suivi Agents'!$G13+AF13/1000+(1000-ROW())/10000000,-1)</f>
        <v>-1</v>
      </c>
      <c r="AG58" s="44">
        <f>IF(AND('Suivi Agents'!$C13="Oui",'Suivi Agents'!$F13&gt;0,AG$4=1,AG$3&lt;=Paramètres!$B$10),AG13/'Suivi Agents'!$G13+AG13/1000+(1000-ROW())/10000000,-1)</f>
        <v>-1</v>
      </c>
      <c r="AH58" s="44">
        <f>IF(AND('Suivi Agents'!$C13="Oui",'Suivi Agents'!$F13&gt;0,AH$4=1,AH$3&lt;=Paramètres!$B$10),AH13/'Suivi Agents'!$G13+AH13/1000+(1000-ROW())/10000000,-1)</f>
        <v>-1</v>
      </c>
    </row>
    <row r="59" spans="1:34" x14ac:dyDescent="0.45">
      <c r="A59" s="8" t="str">
        <f t="shared" si="0"/>
        <v>YANKEE</v>
      </c>
      <c r="B59" s="8" t="str">
        <f t="shared" si="0"/>
        <v>pvt_rgz_lsenakpon.ftth</v>
      </c>
      <c r="D59" s="44">
        <f>IF(AND('Suivi Agents'!$C14="Oui",'Suivi Agents'!$F14&gt;0,D$4=1,D$3&lt;=Paramètres!$B$10),D14/'Suivi Agents'!$G14+D14/1000+(1000-ROW())/10000000,-1)</f>
        <v>9.4099999999999997E-5</v>
      </c>
      <c r="E59" s="44">
        <f>IF(AND('Suivi Agents'!$C14="Oui",'Suivi Agents'!$F14&gt;0,E$4=1,E$3&lt;=Paramètres!$B$10),E14/'Suivi Agents'!$G14+E14/1000+(1000-ROW())/10000000,-1)</f>
        <v>-1</v>
      </c>
      <c r="F59" s="44">
        <f>IF(AND('Suivi Agents'!$C14="Oui",'Suivi Agents'!$F14&gt;0,F$4=1,F$3&lt;=Paramètres!$B$10),F14/'Suivi Agents'!$G14+F14/1000+(1000-ROW())/10000000,-1)</f>
        <v>-1</v>
      </c>
      <c r="G59" s="44">
        <f>IF(AND('Suivi Agents'!$C14="Oui",'Suivi Agents'!$F14&gt;0,G$4=1,G$3&lt;=Paramètres!$B$10),G14/'Suivi Agents'!$G14+G14/1000+(1000-ROW())/10000000,-1)</f>
        <v>-1</v>
      </c>
      <c r="H59" s="44">
        <f>IF(AND('Suivi Agents'!$C14="Oui",'Suivi Agents'!$F14&gt;0,H$4=1,H$3&lt;=Paramètres!$B$10),H14/'Suivi Agents'!$G14+H14/1000+(1000-ROW())/10000000,-1)</f>
        <v>-1</v>
      </c>
      <c r="I59" s="44">
        <f>IF(AND('Suivi Agents'!$C14="Oui",'Suivi Agents'!$F14&gt;0,I$4=1,I$3&lt;=Paramètres!$B$10),I14/'Suivi Agents'!$G14+I14/1000+(1000-ROW())/10000000,-1)</f>
        <v>-1</v>
      </c>
      <c r="J59" s="44">
        <f>IF(AND('Suivi Agents'!$C14="Oui",'Suivi Agents'!$F14&gt;0,J$4=1,J$3&lt;=Paramètres!$B$10),J14/'Suivi Agents'!$G14+J14/1000+(1000-ROW())/10000000,-1)</f>
        <v>-1</v>
      </c>
      <c r="K59" s="44">
        <f>IF(AND('Suivi Agents'!$C14="Oui",'Suivi Agents'!$F14&gt;0,K$4=1,K$3&lt;=Paramètres!$B$10),K14/'Suivi Agents'!$G14+K14/1000+(1000-ROW())/10000000,-1)</f>
        <v>-1</v>
      </c>
      <c r="L59" s="44">
        <f>IF(AND('Suivi Agents'!$C14="Oui",'Suivi Agents'!$F14&gt;0,L$4=1,L$3&lt;=Paramètres!$B$10),L14/'Suivi Agents'!$G14+L14/1000+(1000-ROW())/10000000,-1)</f>
        <v>-1</v>
      </c>
      <c r="M59" s="44">
        <f>IF(AND('Suivi Agents'!$C14="Oui",'Suivi Agents'!$F14&gt;0,M$4=1,M$3&lt;=Paramètres!$B$10),M14/'Suivi Agents'!$G14+M14/1000+(1000-ROW())/10000000,-1)</f>
        <v>-1</v>
      </c>
      <c r="N59" s="44">
        <f>IF(AND('Suivi Agents'!$C14="Oui",'Suivi Agents'!$F14&gt;0,N$4=1,N$3&lt;=Paramètres!$B$10),N14/'Suivi Agents'!$G14+N14/1000+(1000-ROW())/10000000,-1)</f>
        <v>-1</v>
      </c>
      <c r="O59" s="44">
        <f>IF(AND('Suivi Agents'!$C14="Oui",'Suivi Agents'!$F14&gt;0,O$4=1,O$3&lt;=Paramètres!$B$10),O14/'Suivi Agents'!$G14+O14/1000+(1000-ROW())/10000000,-1)</f>
        <v>-1</v>
      </c>
      <c r="P59" s="44">
        <f>IF(AND('Suivi Agents'!$C14="Oui",'Suivi Agents'!$F14&gt;0,P$4=1,P$3&lt;=Paramètres!$B$10),P14/'Suivi Agents'!$G14+P14/1000+(1000-ROW())/10000000,-1)</f>
        <v>-1</v>
      </c>
      <c r="Q59" s="44">
        <f>IF(AND('Suivi Agents'!$C14="Oui",'Suivi Agents'!$F14&gt;0,Q$4=1,Q$3&lt;=Paramètres!$B$10),Q14/'Suivi Agents'!$G14+Q14/1000+(1000-ROW())/10000000,-1)</f>
        <v>-1</v>
      </c>
      <c r="R59" s="44">
        <f>IF(AND('Suivi Agents'!$C14="Oui",'Suivi Agents'!$F14&gt;0,R$4=1,R$3&lt;=Paramètres!$B$10),R14/'Suivi Agents'!$G14+R14/1000+(1000-ROW())/10000000,-1)</f>
        <v>-1</v>
      </c>
      <c r="S59" s="44">
        <f>IF(AND('Suivi Agents'!$C14="Oui",'Suivi Agents'!$F14&gt;0,S$4=1,S$3&lt;=Paramètres!$B$10),S14/'Suivi Agents'!$G14+S14/1000+(1000-ROW())/10000000,-1)</f>
        <v>-1</v>
      </c>
      <c r="T59" s="44">
        <f>IF(AND('Suivi Agents'!$C14="Oui",'Suivi Agents'!$F14&gt;0,T$4=1,T$3&lt;=Paramètres!$B$10),T14/'Suivi Agents'!$G14+T14/1000+(1000-ROW())/10000000,-1)</f>
        <v>-1</v>
      </c>
      <c r="U59" s="44">
        <f>IF(AND('Suivi Agents'!$C14="Oui",'Suivi Agents'!$F14&gt;0,U$4=1,U$3&lt;=Paramètres!$B$10),U14/'Suivi Agents'!$G14+U14/1000+(1000-ROW())/10000000,-1)</f>
        <v>-1</v>
      </c>
      <c r="V59" s="44">
        <f>IF(AND('Suivi Agents'!$C14="Oui",'Suivi Agents'!$F14&gt;0,V$4=1,V$3&lt;=Paramètres!$B$10),V14/'Suivi Agents'!$G14+V14/1000+(1000-ROW())/10000000,-1)</f>
        <v>-1</v>
      </c>
      <c r="W59" s="44">
        <f>IF(AND('Suivi Agents'!$C14="Oui",'Suivi Agents'!$F14&gt;0,W$4=1,W$3&lt;=Paramètres!$B$10),W14/'Suivi Agents'!$G14+W14/1000+(1000-ROW())/10000000,-1)</f>
        <v>-1</v>
      </c>
      <c r="X59" s="44">
        <f>IF(AND('Suivi Agents'!$C14="Oui",'Suivi Agents'!$F14&gt;0,X$4=1,X$3&lt;=Paramètres!$B$10),X14/'Suivi Agents'!$G14+X14/1000+(1000-ROW())/10000000,-1)</f>
        <v>-1</v>
      </c>
      <c r="Y59" s="44">
        <f>IF(AND('Suivi Agents'!$C14="Oui",'Suivi Agents'!$F14&gt;0,Y$4=1,Y$3&lt;=Paramètres!$B$10),Y14/'Suivi Agents'!$G14+Y14/1000+(1000-ROW())/10000000,-1)</f>
        <v>-1</v>
      </c>
      <c r="Z59" s="44">
        <f>IF(AND('Suivi Agents'!$C14="Oui",'Suivi Agents'!$F14&gt;0,Z$4=1,Z$3&lt;=Paramètres!$B$10),Z14/'Suivi Agents'!$G14+Z14/1000+(1000-ROW())/10000000,-1)</f>
        <v>-1</v>
      </c>
      <c r="AA59" s="44">
        <f>IF(AND('Suivi Agents'!$C14="Oui",'Suivi Agents'!$F14&gt;0,AA$4=1,AA$3&lt;=Paramètres!$B$10),AA14/'Suivi Agents'!$G14+AA14/1000+(1000-ROW())/10000000,-1)</f>
        <v>-1</v>
      </c>
      <c r="AB59" s="44">
        <f>IF(AND('Suivi Agents'!$C14="Oui",'Suivi Agents'!$F14&gt;0,AB$4=1,AB$3&lt;=Paramètres!$B$10),AB14/'Suivi Agents'!$G14+AB14/1000+(1000-ROW())/10000000,-1)</f>
        <v>-1</v>
      </c>
      <c r="AC59" s="44">
        <f>IF(AND('Suivi Agents'!$C14="Oui",'Suivi Agents'!$F14&gt;0,AC$4=1,AC$3&lt;=Paramètres!$B$10),AC14/'Suivi Agents'!$G14+AC14/1000+(1000-ROW())/10000000,-1)</f>
        <v>-1</v>
      </c>
      <c r="AD59" s="44">
        <f>IF(AND('Suivi Agents'!$C14="Oui",'Suivi Agents'!$F14&gt;0,AD$4=1,AD$3&lt;=Paramètres!$B$10),AD14/'Suivi Agents'!$G14+AD14/1000+(1000-ROW())/10000000,-1)</f>
        <v>-1</v>
      </c>
      <c r="AE59" s="44">
        <f>IF(AND('Suivi Agents'!$C14="Oui",'Suivi Agents'!$F14&gt;0,AE$4=1,AE$3&lt;=Paramètres!$B$10),AE14/'Suivi Agents'!$G14+AE14/1000+(1000-ROW())/10000000,-1)</f>
        <v>-1</v>
      </c>
      <c r="AF59" s="44">
        <f>IF(AND('Suivi Agents'!$C14="Oui",'Suivi Agents'!$F14&gt;0,AF$4=1,AF$3&lt;=Paramètres!$B$10),AF14/'Suivi Agents'!$G14+AF14/1000+(1000-ROW())/10000000,-1)</f>
        <v>-1</v>
      </c>
      <c r="AG59" s="44">
        <f>IF(AND('Suivi Agents'!$C14="Oui",'Suivi Agents'!$F14&gt;0,AG$4=1,AG$3&lt;=Paramètres!$B$10),AG14/'Suivi Agents'!$G14+AG14/1000+(1000-ROW())/10000000,-1)</f>
        <v>-1</v>
      </c>
      <c r="AH59" s="44">
        <f>IF(AND('Suivi Agents'!$C14="Oui",'Suivi Agents'!$F14&gt;0,AH$4=1,AH$3&lt;=Paramètres!$B$10),AH14/'Suivi Agents'!$G14+AH14/1000+(1000-ROW())/10000000,-1)</f>
        <v>-1</v>
      </c>
    </row>
    <row r="60" spans="1:34" x14ac:dyDescent="0.45">
      <c r="A60" s="8" t="str">
        <f t="shared" si="0"/>
        <v>YANKEE</v>
      </c>
      <c r="B60" s="8" t="str">
        <f t="shared" si="0"/>
        <v>pvt_rgz_tletitia.ftth</v>
      </c>
      <c r="D60" s="44">
        <f>IF(AND('Suivi Agents'!$C15="Oui",'Suivi Agents'!$F15&gt;0,D$4=1,D$3&lt;=Paramètres!$B$10),D15/'Suivi Agents'!$G15+D15/1000+(1000-ROW())/10000000,-1)</f>
        <v>9.3999999999999994E-5</v>
      </c>
      <c r="E60" s="44">
        <f>IF(AND('Suivi Agents'!$C15="Oui",'Suivi Agents'!$F15&gt;0,E$4=1,E$3&lt;=Paramètres!$B$10),E15/'Suivi Agents'!$G15+E15/1000+(1000-ROW())/10000000,-1)</f>
        <v>-1</v>
      </c>
      <c r="F60" s="44">
        <f>IF(AND('Suivi Agents'!$C15="Oui",'Suivi Agents'!$F15&gt;0,F$4=1,F$3&lt;=Paramètres!$B$10),F15/'Suivi Agents'!$G15+F15/1000+(1000-ROW())/10000000,-1)</f>
        <v>-1</v>
      </c>
      <c r="G60" s="44">
        <f>IF(AND('Suivi Agents'!$C15="Oui",'Suivi Agents'!$F15&gt;0,G$4=1,G$3&lt;=Paramètres!$B$10),G15/'Suivi Agents'!$G15+G15/1000+(1000-ROW())/10000000,-1)</f>
        <v>-1</v>
      </c>
      <c r="H60" s="44">
        <f>IF(AND('Suivi Agents'!$C15="Oui",'Suivi Agents'!$F15&gt;0,H$4=1,H$3&lt;=Paramètres!$B$10),H15/'Suivi Agents'!$G15+H15/1000+(1000-ROW())/10000000,-1)</f>
        <v>-1</v>
      </c>
      <c r="I60" s="44">
        <f>IF(AND('Suivi Agents'!$C15="Oui",'Suivi Agents'!$F15&gt;0,I$4=1,I$3&lt;=Paramètres!$B$10),I15/'Suivi Agents'!$G15+I15/1000+(1000-ROW())/10000000,-1)</f>
        <v>-1</v>
      </c>
      <c r="J60" s="44">
        <f>IF(AND('Suivi Agents'!$C15="Oui",'Suivi Agents'!$F15&gt;0,J$4=1,J$3&lt;=Paramètres!$B$10),J15/'Suivi Agents'!$G15+J15/1000+(1000-ROW())/10000000,-1)</f>
        <v>-1</v>
      </c>
      <c r="K60" s="44">
        <f>IF(AND('Suivi Agents'!$C15="Oui",'Suivi Agents'!$F15&gt;0,K$4=1,K$3&lt;=Paramètres!$B$10),K15/'Suivi Agents'!$G15+K15/1000+(1000-ROW())/10000000,-1)</f>
        <v>-1</v>
      </c>
      <c r="L60" s="44">
        <f>IF(AND('Suivi Agents'!$C15="Oui",'Suivi Agents'!$F15&gt;0,L$4=1,L$3&lt;=Paramètres!$B$10),L15/'Suivi Agents'!$G15+L15/1000+(1000-ROW())/10000000,-1)</f>
        <v>-1</v>
      </c>
      <c r="M60" s="44">
        <f>IF(AND('Suivi Agents'!$C15="Oui",'Suivi Agents'!$F15&gt;0,M$4=1,M$3&lt;=Paramètres!$B$10),M15/'Suivi Agents'!$G15+M15/1000+(1000-ROW())/10000000,-1)</f>
        <v>-1</v>
      </c>
      <c r="N60" s="44">
        <f>IF(AND('Suivi Agents'!$C15="Oui",'Suivi Agents'!$F15&gt;0,N$4=1,N$3&lt;=Paramètres!$B$10),N15/'Suivi Agents'!$G15+N15/1000+(1000-ROW())/10000000,-1)</f>
        <v>-1</v>
      </c>
      <c r="O60" s="44">
        <f>IF(AND('Suivi Agents'!$C15="Oui",'Suivi Agents'!$F15&gt;0,O$4=1,O$3&lt;=Paramètres!$B$10),O15/'Suivi Agents'!$G15+O15/1000+(1000-ROW())/10000000,-1)</f>
        <v>-1</v>
      </c>
      <c r="P60" s="44">
        <f>IF(AND('Suivi Agents'!$C15="Oui",'Suivi Agents'!$F15&gt;0,P$4=1,P$3&lt;=Paramètres!$B$10),P15/'Suivi Agents'!$G15+P15/1000+(1000-ROW())/10000000,-1)</f>
        <v>-1</v>
      </c>
      <c r="Q60" s="44">
        <f>IF(AND('Suivi Agents'!$C15="Oui",'Suivi Agents'!$F15&gt;0,Q$4=1,Q$3&lt;=Paramètres!$B$10),Q15/'Suivi Agents'!$G15+Q15/1000+(1000-ROW())/10000000,-1)</f>
        <v>-1</v>
      </c>
      <c r="R60" s="44">
        <f>IF(AND('Suivi Agents'!$C15="Oui",'Suivi Agents'!$F15&gt;0,R$4=1,R$3&lt;=Paramètres!$B$10),R15/'Suivi Agents'!$G15+R15/1000+(1000-ROW())/10000000,-1)</f>
        <v>-1</v>
      </c>
      <c r="S60" s="44">
        <f>IF(AND('Suivi Agents'!$C15="Oui",'Suivi Agents'!$F15&gt;0,S$4=1,S$3&lt;=Paramètres!$B$10),S15/'Suivi Agents'!$G15+S15/1000+(1000-ROW())/10000000,-1)</f>
        <v>-1</v>
      </c>
      <c r="T60" s="44">
        <f>IF(AND('Suivi Agents'!$C15="Oui",'Suivi Agents'!$F15&gt;0,T$4=1,T$3&lt;=Paramètres!$B$10),T15/'Suivi Agents'!$G15+T15/1000+(1000-ROW())/10000000,-1)</f>
        <v>-1</v>
      </c>
      <c r="U60" s="44">
        <f>IF(AND('Suivi Agents'!$C15="Oui",'Suivi Agents'!$F15&gt;0,U$4=1,U$3&lt;=Paramètres!$B$10),U15/'Suivi Agents'!$G15+U15/1000+(1000-ROW())/10000000,-1)</f>
        <v>-1</v>
      </c>
      <c r="V60" s="44">
        <f>IF(AND('Suivi Agents'!$C15="Oui",'Suivi Agents'!$F15&gt;0,V$4=1,V$3&lt;=Paramètres!$B$10),V15/'Suivi Agents'!$G15+V15/1000+(1000-ROW())/10000000,-1)</f>
        <v>-1</v>
      </c>
      <c r="W60" s="44">
        <f>IF(AND('Suivi Agents'!$C15="Oui",'Suivi Agents'!$F15&gt;0,W$4=1,W$3&lt;=Paramètres!$B$10),W15/'Suivi Agents'!$G15+W15/1000+(1000-ROW())/10000000,-1)</f>
        <v>-1</v>
      </c>
      <c r="X60" s="44">
        <f>IF(AND('Suivi Agents'!$C15="Oui",'Suivi Agents'!$F15&gt;0,X$4=1,X$3&lt;=Paramètres!$B$10),X15/'Suivi Agents'!$G15+X15/1000+(1000-ROW())/10000000,-1)</f>
        <v>-1</v>
      </c>
      <c r="Y60" s="44">
        <f>IF(AND('Suivi Agents'!$C15="Oui",'Suivi Agents'!$F15&gt;0,Y$4=1,Y$3&lt;=Paramètres!$B$10),Y15/'Suivi Agents'!$G15+Y15/1000+(1000-ROW())/10000000,-1)</f>
        <v>-1</v>
      </c>
      <c r="Z60" s="44">
        <f>IF(AND('Suivi Agents'!$C15="Oui",'Suivi Agents'!$F15&gt;0,Z$4=1,Z$3&lt;=Paramètres!$B$10),Z15/'Suivi Agents'!$G15+Z15/1000+(1000-ROW())/10000000,-1)</f>
        <v>-1</v>
      </c>
      <c r="AA60" s="44">
        <f>IF(AND('Suivi Agents'!$C15="Oui",'Suivi Agents'!$F15&gt;0,AA$4=1,AA$3&lt;=Paramètres!$B$10),AA15/'Suivi Agents'!$G15+AA15/1000+(1000-ROW())/10000000,-1)</f>
        <v>-1</v>
      </c>
      <c r="AB60" s="44">
        <f>IF(AND('Suivi Agents'!$C15="Oui",'Suivi Agents'!$F15&gt;0,AB$4=1,AB$3&lt;=Paramètres!$B$10),AB15/'Suivi Agents'!$G15+AB15/1000+(1000-ROW())/10000000,-1)</f>
        <v>-1</v>
      </c>
      <c r="AC60" s="44">
        <f>IF(AND('Suivi Agents'!$C15="Oui",'Suivi Agents'!$F15&gt;0,AC$4=1,AC$3&lt;=Paramètres!$B$10),AC15/'Suivi Agents'!$G15+AC15/1000+(1000-ROW())/10000000,-1)</f>
        <v>-1</v>
      </c>
      <c r="AD60" s="44">
        <f>IF(AND('Suivi Agents'!$C15="Oui",'Suivi Agents'!$F15&gt;0,AD$4=1,AD$3&lt;=Paramètres!$B$10),AD15/'Suivi Agents'!$G15+AD15/1000+(1000-ROW())/10000000,-1)</f>
        <v>-1</v>
      </c>
      <c r="AE60" s="44">
        <f>IF(AND('Suivi Agents'!$C15="Oui",'Suivi Agents'!$F15&gt;0,AE$4=1,AE$3&lt;=Paramètres!$B$10),AE15/'Suivi Agents'!$G15+AE15/1000+(1000-ROW())/10000000,-1)</f>
        <v>-1</v>
      </c>
      <c r="AF60" s="44">
        <f>IF(AND('Suivi Agents'!$C15="Oui",'Suivi Agents'!$F15&gt;0,AF$4=1,AF$3&lt;=Paramètres!$B$10),AF15/'Suivi Agents'!$G15+AF15/1000+(1000-ROW())/10000000,-1)</f>
        <v>-1</v>
      </c>
      <c r="AG60" s="44">
        <f>IF(AND('Suivi Agents'!$C15="Oui",'Suivi Agents'!$F15&gt;0,AG$4=1,AG$3&lt;=Paramètres!$B$10),AG15/'Suivi Agents'!$G15+AG15/1000+(1000-ROW())/10000000,-1)</f>
        <v>-1</v>
      </c>
      <c r="AH60" s="44">
        <f>IF(AND('Suivi Agents'!$C15="Oui",'Suivi Agents'!$F15&gt;0,AH$4=1,AH$3&lt;=Paramètres!$B$10),AH15/'Suivi Agents'!$G15+AH15/1000+(1000-ROW())/10000000,-1)</f>
        <v>-1</v>
      </c>
    </row>
    <row r="61" spans="1:34" x14ac:dyDescent="0.45">
      <c r="A61" s="8" t="str">
        <f t="shared" si="0"/>
        <v>YANKEE</v>
      </c>
      <c r="B61" s="8" t="str">
        <f t="shared" si="0"/>
        <v>pvt_rgz_dalexis.ftth</v>
      </c>
      <c r="D61" s="44">
        <f>IF(AND('Suivi Agents'!$C16="Oui",'Suivi Agents'!$F16&gt;0,D$4=1,D$3&lt;=Paramètres!$B$10),D16/'Suivi Agents'!$G16+D16/1000+(1000-ROW())/10000000,-1)</f>
        <v>9.3900000000000006E-5</v>
      </c>
      <c r="E61" s="44">
        <f>IF(AND('Suivi Agents'!$C16="Oui",'Suivi Agents'!$F16&gt;0,E$4=1,E$3&lt;=Paramètres!$B$10),E16/'Suivi Agents'!$G16+E16/1000+(1000-ROW())/10000000,-1)</f>
        <v>-1</v>
      </c>
      <c r="F61" s="44">
        <f>IF(AND('Suivi Agents'!$C16="Oui",'Suivi Agents'!$F16&gt;0,F$4=1,F$3&lt;=Paramètres!$B$10),F16/'Suivi Agents'!$G16+F16/1000+(1000-ROW())/10000000,-1)</f>
        <v>-1</v>
      </c>
      <c r="G61" s="44">
        <f>IF(AND('Suivi Agents'!$C16="Oui",'Suivi Agents'!$F16&gt;0,G$4=1,G$3&lt;=Paramètres!$B$10),G16/'Suivi Agents'!$G16+G16/1000+(1000-ROW())/10000000,-1)</f>
        <v>-1</v>
      </c>
      <c r="H61" s="44">
        <f>IF(AND('Suivi Agents'!$C16="Oui",'Suivi Agents'!$F16&gt;0,H$4=1,H$3&lt;=Paramètres!$B$10),H16/'Suivi Agents'!$G16+H16/1000+(1000-ROW())/10000000,-1)</f>
        <v>-1</v>
      </c>
      <c r="I61" s="44">
        <f>IF(AND('Suivi Agents'!$C16="Oui",'Suivi Agents'!$F16&gt;0,I$4=1,I$3&lt;=Paramètres!$B$10),I16/'Suivi Agents'!$G16+I16/1000+(1000-ROW())/10000000,-1)</f>
        <v>-1</v>
      </c>
      <c r="J61" s="44">
        <f>IF(AND('Suivi Agents'!$C16="Oui",'Suivi Agents'!$F16&gt;0,J$4=1,J$3&lt;=Paramètres!$B$10),J16/'Suivi Agents'!$G16+J16/1000+(1000-ROW())/10000000,-1)</f>
        <v>-1</v>
      </c>
      <c r="K61" s="44">
        <f>IF(AND('Suivi Agents'!$C16="Oui",'Suivi Agents'!$F16&gt;0,K$4=1,K$3&lt;=Paramètres!$B$10),K16/'Suivi Agents'!$G16+K16/1000+(1000-ROW())/10000000,-1)</f>
        <v>-1</v>
      </c>
      <c r="L61" s="44">
        <f>IF(AND('Suivi Agents'!$C16="Oui",'Suivi Agents'!$F16&gt;0,L$4=1,L$3&lt;=Paramètres!$B$10),L16/'Suivi Agents'!$G16+L16/1000+(1000-ROW())/10000000,-1)</f>
        <v>-1</v>
      </c>
      <c r="M61" s="44">
        <f>IF(AND('Suivi Agents'!$C16="Oui",'Suivi Agents'!$F16&gt;0,M$4=1,M$3&lt;=Paramètres!$B$10),M16/'Suivi Agents'!$G16+M16/1000+(1000-ROW())/10000000,-1)</f>
        <v>-1</v>
      </c>
      <c r="N61" s="44">
        <f>IF(AND('Suivi Agents'!$C16="Oui",'Suivi Agents'!$F16&gt;0,N$4=1,N$3&lt;=Paramètres!$B$10),N16/'Suivi Agents'!$G16+N16/1000+(1000-ROW())/10000000,-1)</f>
        <v>-1</v>
      </c>
      <c r="O61" s="44">
        <f>IF(AND('Suivi Agents'!$C16="Oui",'Suivi Agents'!$F16&gt;0,O$4=1,O$3&lt;=Paramètres!$B$10),O16/'Suivi Agents'!$G16+O16/1000+(1000-ROW())/10000000,-1)</f>
        <v>-1</v>
      </c>
      <c r="P61" s="44">
        <f>IF(AND('Suivi Agents'!$C16="Oui",'Suivi Agents'!$F16&gt;0,P$4=1,P$3&lt;=Paramètres!$B$10),P16/'Suivi Agents'!$G16+P16/1000+(1000-ROW())/10000000,-1)</f>
        <v>-1</v>
      </c>
      <c r="Q61" s="44">
        <f>IF(AND('Suivi Agents'!$C16="Oui",'Suivi Agents'!$F16&gt;0,Q$4=1,Q$3&lt;=Paramètres!$B$10),Q16/'Suivi Agents'!$G16+Q16/1000+(1000-ROW())/10000000,-1)</f>
        <v>-1</v>
      </c>
      <c r="R61" s="44">
        <f>IF(AND('Suivi Agents'!$C16="Oui",'Suivi Agents'!$F16&gt;0,R$4=1,R$3&lt;=Paramètres!$B$10),R16/'Suivi Agents'!$G16+R16/1000+(1000-ROW())/10000000,-1)</f>
        <v>-1</v>
      </c>
      <c r="S61" s="44">
        <f>IF(AND('Suivi Agents'!$C16="Oui",'Suivi Agents'!$F16&gt;0,S$4=1,S$3&lt;=Paramètres!$B$10),S16/'Suivi Agents'!$G16+S16/1000+(1000-ROW())/10000000,-1)</f>
        <v>-1</v>
      </c>
      <c r="T61" s="44">
        <f>IF(AND('Suivi Agents'!$C16="Oui",'Suivi Agents'!$F16&gt;0,T$4=1,T$3&lt;=Paramètres!$B$10),T16/'Suivi Agents'!$G16+T16/1000+(1000-ROW())/10000000,-1)</f>
        <v>-1</v>
      </c>
      <c r="U61" s="44">
        <f>IF(AND('Suivi Agents'!$C16="Oui",'Suivi Agents'!$F16&gt;0,U$4=1,U$3&lt;=Paramètres!$B$10),U16/'Suivi Agents'!$G16+U16/1000+(1000-ROW())/10000000,-1)</f>
        <v>-1</v>
      </c>
      <c r="V61" s="44">
        <f>IF(AND('Suivi Agents'!$C16="Oui",'Suivi Agents'!$F16&gt;0,V$4=1,V$3&lt;=Paramètres!$B$10),V16/'Suivi Agents'!$G16+V16/1000+(1000-ROW())/10000000,-1)</f>
        <v>-1</v>
      </c>
      <c r="W61" s="44">
        <f>IF(AND('Suivi Agents'!$C16="Oui",'Suivi Agents'!$F16&gt;0,W$4=1,W$3&lt;=Paramètres!$B$10),W16/'Suivi Agents'!$G16+W16/1000+(1000-ROW())/10000000,-1)</f>
        <v>-1</v>
      </c>
      <c r="X61" s="44">
        <f>IF(AND('Suivi Agents'!$C16="Oui",'Suivi Agents'!$F16&gt;0,X$4=1,X$3&lt;=Paramètres!$B$10),X16/'Suivi Agents'!$G16+X16/1000+(1000-ROW())/10000000,-1)</f>
        <v>-1</v>
      </c>
      <c r="Y61" s="44">
        <f>IF(AND('Suivi Agents'!$C16="Oui",'Suivi Agents'!$F16&gt;0,Y$4=1,Y$3&lt;=Paramètres!$B$10),Y16/'Suivi Agents'!$G16+Y16/1000+(1000-ROW())/10000000,-1)</f>
        <v>-1</v>
      </c>
      <c r="Z61" s="44">
        <f>IF(AND('Suivi Agents'!$C16="Oui",'Suivi Agents'!$F16&gt;0,Z$4=1,Z$3&lt;=Paramètres!$B$10),Z16/'Suivi Agents'!$G16+Z16/1000+(1000-ROW())/10000000,-1)</f>
        <v>-1</v>
      </c>
      <c r="AA61" s="44">
        <f>IF(AND('Suivi Agents'!$C16="Oui",'Suivi Agents'!$F16&gt;0,AA$4=1,AA$3&lt;=Paramètres!$B$10),AA16/'Suivi Agents'!$G16+AA16/1000+(1000-ROW())/10000000,-1)</f>
        <v>-1</v>
      </c>
      <c r="AB61" s="44">
        <f>IF(AND('Suivi Agents'!$C16="Oui",'Suivi Agents'!$F16&gt;0,AB$4=1,AB$3&lt;=Paramètres!$B$10),AB16/'Suivi Agents'!$G16+AB16/1000+(1000-ROW())/10000000,-1)</f>
        <v>-1</v>
      </c>
      <c r="AC61" s="44">
        <f>IF(AND('Suivi Agents'!$C16="Oui",'Suivi Agents'!$F16&gt;0,AC$4=1,AC$3&lt;=Paramètres!$B$10),AC16/'Suivi Agents'!$G16+AC16/1000+(1000-ROW())/10000000,-1)</f>
        <v>-1</v>
      </c>
      <c r="AD61" s="44">
        <f>IF(AND('Suivi Agents'!$C16="Oui",'Suivi Agents'!$F16&gt;0,AD$4=1,AD$3&lt;=Paramètres!$B$10),AD16/'Suivi Agents'!$G16+AD16/1000+(1000-ROW())/10000000,-1)</f>
        <v>-1</v>
      </c>
      <c r="AE61" s="44">
        <f>IF(AND('Suivi Agents'!$C16="Oui",'Suivi Agents'!$F16&gt;0,AE$4=1,AE$3&lt;=Paramètres!$B$10),AE16/'Suivi Agents'!$G16+AE16/1000+(1000-ROW())/10000000,-1)</f>
        <v>-1</v>
      </c>
      <c r="AF61" s="44">
        <f>IF(AND('Suivi Agents'!$C16="Oui",'Suivi Agents'!$F16&gt;0,AF$4=1,AF$3&lt;=Paramètres!$B$10),AF16/'Suivi Agents'!$G16+AF16/1000+(1000-ROW())/10000000,-1)</f>
        <v>-1</v>
      </c>
      <c r="AG61" s="44">
        <f>IF(AND('Suivi Agents'!$C16="Oui",'Suivi Agents'!$F16&gt;0,AG$4=1,AG$3&lt;=Paramètres!$B$10),AG16/'Suivi Agents'!$G16+AG16/1000+(1000-ROW())/10000000,-1)</f>
        <v>-1</v>
      </c>
      <c r="AH61" s="44">
        <f>IF(AND('Suivi Agents'!$C16="Oui",'Suivi Agents'!$F16&gt;0,AH$4=1,AH$3&lt;=Paramètres!$B$10),AH16/'Suivi Agents'!$G16+AH16/1000+(1000-ROW())/10000000,-1)</f>
        <v>-1</v>
      </c>
    </row>
    <row r="62" spans="1:34" x14ac:dyDescent="0.45">
      <c r="A62" s="8" t="str">
        <f t="shared" si="0"/>
        <v>YANKEE</v>
      </c>
      <c r="B62" s="8" t="str">
        <f t="shared" si="0"/>
        <v>pvt_rgz_eulisse.ftth</v>
      </c>
      <c r="D62" s="44">
        <f>IF(AND('Suivi Agents'!$C17="Oui",'Suivi Agents'!$F17&gt;0,D$4=1,D$3&lt;=Paramètres!$B$10),D17/'Suivi Agents'!$G17+D17/1000+(1000-ROW())/10000000,-1)</f>
        <v>9.3800000000000003E-5</v>
      </c>
      <c r="E62" s="44">
        <f>IF(AND('Suivi Agents'!$C17="Oui",'Suivi Agents'!$F17&gt;0,E$4=1,E$3&lt;=Paramètres!$B$10),E17/'Suivi Agents'!$G17+E17/1000+(1000-ROW())/10000000,-1)</f>
        <v>-1</v>
      </c>
      <c r="F62" s="44">
        <f>IF(AND('Suivi Agents'!$C17="Oui",'Suivi Agents'!$F17&gt;0,F$4=1,F$3&lt;=Paramètres!$B$10),F17/'Suivi Agents'!$G17+F17/1000+(1000-ROW())/10000000,-1)</f>
        <v>-1</v>
      </c>
      <c r="G62" s="44">
        <f>IF(AND('Suivi Agents'!$C17="Oui",'Suivi Agents'!$F17&gt;0,G$4=1,G$3&lt;=Paramètres!$B$10),G17/'Suivi Agents'!$G17+G17/1000+(1000-ROW())/10000000,-1)</f>
        <v>-1</v>
      </c>
      <c r="H62" s="44">
        <f>IF(AND('Suivi Agents'!$C17="Oui",'Suivi Agents'!$F17&gt;0,H$4=1,H$3&lt;=Paramètres!$B$10),H17/'Suivi Agents'!$G17+H17/1000+(1000-ROW())/10000000,-1)</f>
        <v>-1</v>
      </c>
      <c r="I62" s="44">
        <f>IF(AND('Suivi Agents'!$C17="Oui",'Suivi Agents'!$F17&gt;0,I$4=1,I$3&lt;=Paramètres!$B$10),I17/'Suivi Agents'!$G17+I17/1000+(1000-ROW())/10000000,-1)</f>
        <v>-1</v>
      </c>
      <c r="J62" s="44">
        <f>IF(AND('Suivi Agents'!$C17="Oui",'Suivi Agents'!$F17&gt;0,J$4=1,J$3&lt;=Paramètres!$B$10),J17/'Suivi Agents'!$G17+J17/1000+(1000-ROW())/10000000,-1)</f>
        <v>-1</v>
      </c>
      <c r="K62" s="44">
        <f>IF(AND('Suivi Agents'!$C17="Oui",'Suivi Agents'!$F17&gt;0,K$4=1,K$3&lt;=Paramètres!$B$10),K17/'Suivi Agents'!$G17+K17/1000+(1000-ROW())/10000000,-1)</f>
        <v>-1</v>
      </c>
      <c r="L62" s="44">
        <f>IF(AND('Suivi Agents'!$C17="Oui",'Suivi Agents'!$F17&gt;0,L$4=1,L$3&lt;=Paramètres!$B$10),L17/'Suivi Agents'!$G17+L17/1000+(1000-ROW())/10000000,-1)</f>
        <v>-1</v>
      </c>
      <c r="M62" s="44">
        <f>IF(AND('Suivi Agents'!$C17="Oui",'Suivi Agents'!$F17&gt;0,M$4=1,M$3&lt;=Paramètres!$B$10),M17/'Suivi Agents'!$G17+M17/1000+(1000-ROW())/10000000,-1)</f>
        <v>-1</v>
      </c>
      <c r="N62" s="44">
        <f>IF(AND('Suivi Agents'!$C17="Oui",'Suivi Agents'!$F17&gt;0,N$4=1,N$3&lt;=Paramètres!$B$10),N17/'Suivi Agents'!$G17+N17/1000+(1000-ROW())/10000000,-1)</f>
        <v>-1</v>
      </c>
      <c r="O62" s="44">
        <f>IF(AND('Suivi Agents'!$C17="Oui",'Suivi Agents'!$F17&gt;0,O$4=1,O$3&lt;=Paramètres!$B$10),O17/'Suivi Agents'!$G17+O17/1000+(1000-ROW())/10000000,-1)</f>
        <v>-1</v>
      </c>
      <c r="P62" s="44">
        <f>IF(AND('Suivi Agents'!$C17="Oui",'Suivi Agents'!$F17&gt;0,P$4=1,P$3&lt;=Paramètres!$B$10),P17/'Suivi Agents'!$G17+P17/1000+(1000-ROW())/10000000,-1)</f>
        <v>-1</v>
      </c>
      <c r="Q62" s="44">
        <f>IF(AND('Suivi Agents'!$C17="Oui",'Suivi Agents'!$F17&gt;0,Q$4=1,Q$3&lt;=Paramètres!$B$10),Q17/'Suivi Agents'!$G17+Q17/1000+(1000-ROW())/10000000,-1)</f>
        <v>-1</v>
      </c>
      <c r="R62" s="44">
        <f>IF(AND('Suivi Agents'!$C17="Oui",'Suivi Agents'!$F17&gt;0,R$4=1,R$3&lt;=Paramètres!$B$10),R17/'Suivi Agents'!$G17+R17/1000+(1000-ROW())/10000000,-1)</f>
        <v>-1</v>
      </c>
      <c r="S62" s="44">
        <f>IF(AND('Suivi Agents'!$C17="Oui",'Suivi Agents'!$F17&gt;0,S$4=1,S$3&lt;=Paramètres!$B$10),S17/'Suivi Agents'!$G17+S17/1000+(1000-ROW())/10000000,-1)</f>
        <v>-1</v>
      </c>
      <c r="T62" s="44">
        <f>IF(AND('Suivi Agents'!$C17="Oui",'Suivi Agents'!$F17&gt;0,T$4=1,T$3&lt;=Paramètres!$B$10),T17/'Suivi Agents'!$G17+T17/1000+(1000-ROW())/10000000,-1)</f>
        <v>-1</v>
      </c>
      <c r="U62" s="44">
        <f>IF(AND('Suivi Agents'!$C17="Oui",'Suivi Agents'!$F17&gt;0,U$4=1,U$3&lt;=Paramètres!$B$10),U17/'Suivi Agents'!$G17+U17/1000+(1000-ROW())/10000000,-1)</f>
        <v>-1</v>
      </c>
      <c r="V62" s="44">
        <f>IF(AND('Suivi Agents'!$C17="Oui",'Suivi Agents'!$F17&gt;0,V$4=1,V$3&lt;=Paramètres!$B$10),V17/'Suivi Agents'!$G17+V17/1000+(1000-ROW())/10000000,-1)</f>
        <v>-1</v>
      </c>
      <c r="W62" s="44">
        <f>IF(AND('Suivi Agents'!$C17="Oui",'Suivi Agents'!$F17&gt;0,W$4=1,W$3&lt;=Paramètres!$B$10),W17/'Suivi Agents'!$G17+W17/1000+(1000-ROW())/10000000,-1)</f>
        <v>-1</v>
      </c>
      <c r="X62" s="44">
        <f>IF(AND('Suivi Agents'!$C17="Oui",'Suivi Agents'!$F17&gt;0,X$4=1,X$3&lt;=Paramètres!$B$10),X17/'Suivi Agents'!$G17+X17/1000+(1000-ROW())/10000000,-1)</f>
        <v>-1</v>
      </c>
      <c r="Y62" s="44">
        <f>IF(AND('Suivi Agents'!$C17="Oui",'Suivi Agents'!$F17&gt;0,Y$4=1,Y$3&lt;=Paramètres!$B$10),Y17/'Suivi Agents'!$G17+Y17/1000+(1000-ROW())/10000000,-1)</f>
        <v>-1</v>
      </c>
      <c r="Z62" s="44">
        <f>IF(AND('Suivi Agents'!$C17="Oui",'Suivi Agents'!$F17&gt;0,Z$4=1,Z$3&lt;=Paramètres!$B$10),Z17/'Suivi Agents'!$G17+Z17/1000+(1000-ROW())/10000000,-1)</f>
        <v>-1</v>
      </c>
      <c r="AA62" s="44">
        <f>IF(AND('Suivi Agents'!$C17="Oui",'Suivi Agents'!$F17&gt;0,AA$4=1,AA$3&lt;=Paramètres!$B$10),AA17/'Suivi Agents'!$G17+AA17/1000+(1000-ROW())/10000000,-1)</f>
        <v>-1</v>
      </c>
      <c r="AB62" s="44">
        <f>IF(AND('Suivi Agents'!$C17="Oui",'Suivi Agents'!$F17&gt;0,AB$4=1,AB$3&lt;=Paramètres!$B$10),AB17/'Suivi Agents'!$G17+AB17/1000+(1000-ROW())/10000000,-1)</f>
        <v>-1</v>
      </c>
      <c r="AC62" s="44">
        <f>IF(AND('Suivi Agents'!$C17="Oui",'Suivi Agents'!$F17&gt;0,AC$4=1,AC$3&lt;=Paramètres!$B$10),AC17/'Suivi Agents'!$G17+AC17/1000+(1000-ROW())/10000000,-1)</f>
        <v>-1</v>
      </c>
      <c r="AD62" s="44">
        <f>IF(AND('Suivi Agents'!$C17="Oui",'Suivi Agents'!$F17&gt;0,AD$4=1,AD$3&lt;=Paramètres!$B$10),AD17/'Suivi Agents'!$G17+AD17/1000+(1000-ROW())/10000000,-1)</f>
        <v>-1</v>
      </c>
      <c r="AE62" s="44">
        <f>IF(AND('Suivi Agents'!$C17="Oui",'Suivi Agents'!$F17&gt;0,AE$4=1,AE$3&lt;=Paramètres!$B$10),AE17/'Suivi Agents'!$G17+AE17/1000+(1000-ROW())/10000000,-1)</f>
        <v>-1</v>
      </c>
      <c r="AF62" s="44">
        <f>IF(AND('Suivi Agents'!$C17="Oui",'Suivi Agents'!$F17&gt;0,AF$4=1,AF$3&lt;=Paramètres!$B$10),AF17/'Suivi Agents'!$G17+AF17/1000+(1000-ROW())/10000000,-1)</f>
        <v>-1</v>
      </c>
      <c r="AG62" s="44">
        <f>IF(AND('Suivi Agents'!$C17="Oui",'Suivi Agents'!$F17&gt;0,AG$4=1,AG$3&lt;=Paramètres!$B$10),AG17/'Suivi Agents'!$G17+AG17/1000+(1000-ROW())/10000000,-1)</f>
        <v>-1</v>
      </c>
      <c r="AH62" s="44">
        <f>IF(AND('Suivi Agents'!$C17="Oui",'Suivi Agents'!$F17&gt;0,AH$4=1,AH$3&lt;=Paramètres!$B$10),AH17/'Suivi Agents'!$G17+AH17/1000+(1000-ROW())/10000000,-1)</f>
        <v>-1</v>
      </c>
    </row>
    <row r="63" spans="1:34" x14ac:dyDescent="0.45">
      <c r="A63" s="8" t="str">
        <f t="shared" si="0"/>
        <v>YANKEE</v>
      </c>
      <c r="B63" s="8" t="str">
        <f t="shared" si="0"/>
        <v>pvt_rgz_hgilles.ftth</v>
      </c>
      <c r="D63" s="44">
        <f>IF(AND('Suivi Agents'!$C18="Oui",'Suivi Agents'!$F18&gt;0,D$4=1,D$3&lt;=Paramètres!$B$10),D18/'Suivi Agents'!$G18+D18/1000+(1000-ROW())/10000000,-1)</f>
        <v>-1</v>
      </c>
      <c r="E63" s="44">
        <f>IF(AND('Suivi Agents'!$C18="Oui",'Suivi Agents'!$F18&gt;0,E$4=1,E$3&lt;=Paramètres!$B$10),E18/'Suivi Agents'!$G18+E18/1000+(1000-ROW())/10000000,-1)</f>
        <v>-1</v>
      </c>
      <c r="F63" s="44">
        <f>IF(AND('Suivi Agents'!$C18="Oui",'Suivi Agents'!$F18&gt;0,F$4=1,F$3&lt;=Paramètres!$B$10),F18/'Suivi Agents'!$G18+F18/1000+(1000-ROW())/10000000,-1)</f>
        <v>-1</v>
      </c>
      <c r="G63" s="44">
        <f>IF(AND('Suivi Agents'!$C18="Oui",'Suivi Agents'!$F18&gt;0,G$4=1,G$3&lt;=Paramètres!$B$10),G18/'Suivi Agents'!$G18+G18/1000+(1000-ROW())/10000000,-1)</f>
        <v>-1</v>
      </c>
      <c r="H63" s="44">
        <f>IF(AND('Suivi Agents'!$C18="Oui",'Suivi Agents'!$F18&gt;0,H$4=1,H$3&lt;=Paramètres!$B$10),H18/'Suivi Agents'!$G18+H18/1000+(1000-ROW())/10000000,-1)</f>
        <v>-1</v>
      </c>
      <c r="I63" s="44">
        <f>IF(AND('Suivi Agents'!$C18="Oui",'Suivi Agents'!$F18&gt;0,I$4=1,I$3&lt;=Paramètres!$B$10),I18/'Suivi Agents'!$G18+I18/1000+(1000-ROW())/10000000,-1)</f>
        <v>-1</v>
      </c>
      <c r="J63" s="44">
        <f>IF(AND('Suivi Agents'!$C18="Oui",'Suivi Agents'!$F18&gt;0,J$4=1,J$3&lt;=Paramètres!$B$10),J18/'Suivi Agents'!$G18+J18/1000+(1000-ROW())/10000000,-1)</f>
        <v>-1</v>
      </c>
      <c r="K63" s="44">
        <f>IF(AND('Suivi Agents'!$C18="Oui",'Suivi Agents'!$F18&gt;0,K$4=1,K$3&lt;=Paramètres!$B$10),K18/'Suivi Agents'!$G18+K18/1000+(1000-ROW())/10000000,-1)</f>
        <v>-1</v>
      </c>
      <c r="L63" s="44">
        <f>IF(AND('Suivi Agents'!$C18="Oui",'Suivi Agents'!$F18&gt;0,L$4=1,L$3&lt;=Paramètres!$B$10),L18/'Suivi Agents'!$G18+L18/1000+(1000-ROW())/10000000,-1)</f>
        <v>-1</v>
      </c>
      <c r="M63" s="44">
        <f>IF(AND('Suivi Agents'!$C18="Oui",'Suivi Agents'!$F18&gt;0,M$4=1,M$3&lt;=Paramètres!$B$10),M18/'Suivi Agents'!$G18+M18/1000+(1000-ROW())/10000000,-1)</f>
        <v>-1</v>
      </c>
      <c r="N63" s="44">
        <f>IF(AND('Suivi Agents'!$C18="Oui",'Suivi Agents'!$F18&gt;0,N$4=1,N$3&lt;=Paramètres!$B$10),N18/'Suivi Agents'!$G18+N18/1000+(1000-ROW())/10000000,-1)</f>
        <v>-1</v>
      </c>
      <c r="O63" s="44">
        <f>IF(AND('Suivi Agents'!$C18="Oui",'Suivi Agents'!$F18&gt;0,O$4=1,O$3&lt;=Paramètres!$B$10),O18/'Suivi Agents'!$G18+O18/1000+(1000-ROW())/10000000,-1)</f>
        <v>-1</v>
      </c>
      <c r="P63" s="44">
        <f>IF(AND('Suivi Agents'!$C18="Oui",'Suivi Agents'!$F18&gt;0,P$4=1,P$3&lt;=Paramètres!$B$10),P18/'Suivi Agents'!$G18+P18/1000+(1000-ROW())/10000000,-1)</f>
        <v>-1</v>
      </c>
      <c r="Q63" s="44">
        <f>IF(AND('Suivi Agents'!$C18="Oui",'Suivi Agents'!$F18&gt;0,Q$4=1,Q$3&lt;=Paramètres!$B$10),Q18/'Suivi Agents'!$G18+Q18/1000+(1000-ROW())/10000000,-1)</f>
        <v>-1</v>
      </c>
      <c r="R63" s="44">
        <f>IF(AND('Suivi Agents'!$C18="Oui",'Suivi Agents'!$F18&gt;0,R$4=1,R$3&lt;=Paramètres!$B$10),R18/'Suivi Agents'!$G18+R18/1000+(1000-ROW())/10000000,-1)</f>
        <v>-1</v>
      </c>
      <c r="S63" s="44">
        <f>IF(AND('Suivi Agents'!$C18="Oui",'Suivi Agents'!$F18&gt;0,S$4=1,S$3&lt;=Paramètres!$B$10),S18/'Suivi Agents'!$G18+S18/1000+(1000-ROW())/10000000,-1)</f>
        <v>-1</v>
      </c>
      <c r="T63" s="44">
        <f>IF(AND('Suivi Agents'!$C18="Oui",'Suivi Agents'!$F18&gt;0,T$4=1,T$3&lt;=Paramètres!$B$10),T18/'Suivi Agents'!$G18+T18/1000+(1000-ROW())/10000000,-1)</f>
        <v>-1</v>
      </c>
      <c r="U63" s="44">
        <f>IF(AND('Suivi Agents'!$C18="Oui",'Suivi Agents'!$F18&gt;0,U$4=1,U$3&lt;=Paramètres!$B$10),U18/'Suivi Agents'!$G18+U18/1000+(1000-ROW())/10000000,-1)</f>
        <v>-1</v>
      </c>
      <c r="V63" s="44">
        <f>IF(AND('Suivi Agents'!$C18="Oui",'Suivi Agents'!$F18&gt;0,V$4=1,V$3&lt;=Paramètres!$B$10),V18/'Suivi Agents'!$G18+V18/1000+(1000-ROW())/10000000,-1)</f>
        <v>-1</v>
      </c>
      <c r="W63" s="44">
        <f>IF(AND('Suivi Agents'!$C18="Oui",'Suivi Agents'!$F18&gt;0,W$4=1,W$3&lt;=Paramètres!$B$10),W18/'Suivi Agents'!$G18+W18/1000+(1000-ROW())/10000000,-1)</f>
        <v>-1</v>
      </c>
      <c r="X63" s="44">
        <f>IF(AND('Suivi Agents'!$C18="Oui",'Suivi Agents'!$F18&gt;0,X$4=1,X$3&lt;=Paramètres!$B$10),X18/'Suivi Agents'!$G18+X18/1000+(1000-ROW())/10000000,-1)</f>
        <v>-1</v>
      </c>
      <c r="Y63" s="44">
        <f>IF(AND('Suivi Agents'!$C18="Oui",'Suivi Agents'!$F18&gt;0,Y$4=1,Y$3&lt;=Paramètres!$B$10),Y18/'Suivi Agents'!$G18+Y18/1000+(1000-ROW())/10000000,-1)</f>
        <v>-1</v>
      </c>
      <c r="Z63" s="44">
        <f>IF(AND('Suivi Agents'!$C18="Oui",'Suivi Agents'!$F18&gt;0,Z$4=1,Z$3&lt;=Paramètres!$B$10),Z18/'Suivi Agents'!$G18+Z18/1000+(1000-ROW())/10000000,-1)</f>
        <v>-1</v>
      </c>
      <c r="AA63" s="44">
        <f>IF(AND('Suivi Agents'!$C18="Oui",'Suivi Agents'!$F18&gt;0,AA$4=1,AA$3&lt;=Paramètres!$B$10),AA18/'Suivi Agents'!$G18+AA18/1000+(1000-ROW())/10000000,-1)</f>
        <v>-1</v>
      </c>
      <c r="AB63" s="44">
        <f>IF(AND('Suivi Agents'!$C18="Oui",'Suivi Agents'!$F18&gt;0,AB$4=1,AB$3&lt;=Paramètres!$B$10),AB18/'Suivi Agents'!$G18+AB18/1000+(1000-ROW())/10000000,-1)</f>
        <v>-1</v>
      </c>
      <c r="AC63" s="44">
        <f>IF(AND('Suivi Agents'!$C18="Oui",'Suivi Agents'!$F18&gt;0,AC$4=1,AC$3&lt;=Paramètres!$B$10),AC18/'Suivi Agents'!$G18+AC18/1000+(1000-ROW())/10000000,-1)</f>
        <v>-1</v>
      </c>
      <c r="AD63" s="44">
        <f>IF(AND('Suivi Agents'!$C18="Oui",'Suivi Agents'!$F18&gt;0,AD$4=1,AD$3&lt;=Paramètres!$B$10),AD18/'Suivi Agents'!$G18+AD18/1000+(1000-ROW())/10000000,-1)</f>
        <v>-1</v>
      </c>
      <c r="AE63" s="44">
        <f>IF(AND('Suivi Agents'!$C18="Oui",'Suivi Agents'!$F18&gt;0,AE$4=1,AE$3&lt;=Paramètres!$B$10),AE18/'Suivi Agents'!$G18+AE18/1000+(1000-ROW())/10000000,-1)</f>
        <v>-1</v>
      </c>
      <c r="AF63" s="44">
        <f>IF(AND('Suivi Agents'!$C18="Oui",'Suivi Agents'!$F18&gt;0,AF$4=1,AF$3&lt;=Paramètres!$B$10),AF18/'Suivi Agents'!$G18+AF18/1000+(1000-ROW())/10000000,-1)</f>
        <v>-1</v>
      </c>
      <c r="AG63" s="44">
        <f>IF(AND('Suivi Agents'!$C18="Oui",'Suivi Agents'!$F18&gt;0,AG$4=1,AG$3&lt;=Paramètres!$B$10),AG18/'Suivi Agents'!$G18+AG18/1000+(1000-ROW())/10000000,-1)</f>
        <v>-1</v>
      </c>
      <c r="AH63" s="44">
        <f>IF(AND('Suivi Agents'!$C18="Oui",'Suivi Agents'!$F18&gt;0,AH$4=1,AH$3&lt;=Paramètres!$B$10),AH18/'Suivi Agents'!$G18+AH18/1000+(1000-ROW())/10000000,-1)</f>
        <v>-1</v>
      </c>
    </row>
    <row r="64" spans="1:34" x14ac:dyDescent="0.45">
      <c r="A64" s="8" t="str">
        <f t="shared" si="0"/>
        <v>ALPHA</v>
      </c>
      <c r="B64" s="8" t="str">
        <f t="shared" si="0"/>
        <v>pms_rgz_tgloria.ftth</v>
      </c>
      <c r="D64" s="44">
        <f>IF(AND('Suivi Agents'!$C19="Oui",'Suivi Agents'!$F19&gt;0,D$4=1,D$3&lt;=Paramètres!$B$10),D19/'Suivi Agents'!$G19+D19/1000+(1000-ROW())/10000000,-1)</f>
        <v>9.3599999999999998E-5</v>
      </c>
      <c r="E64" s="44">
        <f>IF(AND('Suivi Agents'!$C19="Oui",'Suivi Agents'!$F19&gt;0,E$4=1,E$3&lt;=Paramètres!$B$10),E19/'Suivi Agents'!$G19+E19/1000+(1000-ROW())/10000000,-1)</f>
        <v>-1</v>
      </c>
      <c r="F64" s="44">
        <f>IF(AND('Suivi Agents'!$C19="Oui",'Suivi Agents'!$F19&gt;0,F$4=1,F$3&lt;=Paramètres!$B$10),F19/'Suivi Agents'!$G19+F19/1000+(1000-ROW())/10000000,-1)</f>
        <v>-1</v>
      </c>
      <c r="G64" s="44">
        <f>IF(AND('Suivi Agents'!$C19="Oui",'Suivi Agents'!$F19&gt;0,G$4=1,G$3&lt;=Paramètres!$B$10),G19/'Suivi Agents'!$G19+G19/1000+(1000-ROW())/10000000,-1)</f>
        <v>-1</v>
      </c>
      <c r="H64" s="44">
        <f>IF(AND('Suivi Agents'!$C19="Oui",'Suivi Agents'!$F19&gt;0,H$4=1,H$3&lt;=Paramètres!$B$10),H19/'Suivi Agents'!$G19+H19/1000+(1000-ROW())/10000000,-1)</f>
        <v>-1</v>
      </c>
      <c r="I64" s="44">
        <f>IF(AND('Suivi Agents'!$C19="Oui",'Suivi Agents'!$F19&gt;0,I$4=1,I$3&lt;=Paramètres!$B$10),I19/'Suivi Agents'!$G19+I19/1000+(1000-ROW())/10000000,-1)</f>
        <v>-1</v>
      </c>
      <c r="J64" s="44">
        <f>IF(AND('Suivi Agents'!$C19="Oui",'Suivi Agents'!$F19&gt;0,J$4=1,J$3&lt;=Paramètres!$B$10),J19/'Suivi Agents'!$G19+J19/1000+(1000-ROW())/10000000,-1)</f>
        <v>-1</v>
      </c>
      <c r="K64" s="44">
        <f>IF(AND('Suivi Agents'!$C19="Oui",'Suivi Agents'!$F19&gt;0,K$4=1,K$3&lt;=Paramètres!$B$10),K19/'Suivi Agents'!$G19+K19/1000+(1000-ROW())/10000000,-1)</f>
        <v>-1</v>
      </c>
      <c r="L64" s="44">
        <f>IF(AND('Suivi Agents'!$C19="Oui",'Suivi Agents'!$F19&gt;0,L$4=1,L$3&lt;=Paramètres!$B$10),L19/'Suivi Agents'!$G19+L19/1000+(1000-ROW())/10000000,-1)</f>
        <v>-1</v>
      </c>
      <c r="M64" s="44">
        <f>IF(AND('Suivi Agents'!$C19="Oui",'Suivi Agents'!$F19&gt;0,M$4=1,M$3&lt;=Paramètres!$B$10),M19/'Suivi Agents'!$G19+M19/1000+(1000-ROW())/10000000,-1)</f>
        <v>-1</v>
      </c>
      <c r="N64" s="44">
        <f>IF(AND('Suivi Agents'!$C19="Oui",'Suivi Agents'!$F19&gt;0,N$4=1,N$3&lt;=Paramètres!$B$10),N19/'Suivi Agents'!$G19+N19/1000+(1000-ROW())/10000000,-1)</f>
        <v>-1</v>
      </c>
      <c r="O64" s="44">
        <f>IF(AND('Suivi Agents'!$C19="Oui",'Suivi Agents'!$F19&gt;0,O$4=1,O$3&lt;=Paramètres!$B$10),O19/'Suivi Agents'!$G19+O19/1000+(1000-ROW())/10000000,-1)</f>
        <v>-1</v>
      </c>
      <c r="P64" s="44">
        <f>IF(AND('Suivi Agents'!$C19="Oui",'Suivi Agents'!$F19&gt;0,P$4=1,P$3&lt;=Paramètres!$B$10),P19/'Suivi Agents'!$G19+P19/1000+(1000-ROW())/10000000,-1)</f>
        <v>-1</v>
      </c>
      <c r="Q64" s="44">
        <f>IF(AND('Suivi Agents'!$C19="Oui",'Suivi Agents'!$F19&gt;0,Q$4=1,Q$3&lt;=Paramètres!$B$10),Q19/'Suivi Agents'!$G19+Q19/1000+(1000-ROW())/10000000,-1)</f>
        <v>-1</v>
      </c>
      <c r="R64" s="44">
        <f>IF(AND('Suivi Agents'!$C19="Oui",'Suivi Agents'!$F19&gt;0,R$4=1,R$3&lt;=Paramètres!$B$10),R19/'Suivi Agents'!$G19+R19/1000+(1000-ROW())/10000000,-1)</f>
        <v>-1</v>
      </c>
      <c r="S64" s="44">
        <f>IF(AND('Suivi Agents'!$C19="Oui",'Suivi Agents'!$F19&gt;0,S$4=1,S$3&lt;=Paramètres!$B$10),S19/'Suivi Agents'!$G19+S19/1000+(1000-ROW())/10000000,-1)</f>
        <v>-1</v>
      </c>
      <c r="T64" s="44">
        <f>IF(AND('Suivi Agents'!$C19="Oui",'Suivi Agents'!$F19&gt;0,T$4=1,T$3&lt;=Paramètres!$B$10),T19/'Suivi Agents'!$G19+T19/1000+(1000-ROW())/10000000,-1)</f>
        <v>-1</v>
      </c>
      <c r="U64" s="44">
        <f>IF(AND('Suivi Agents'!$C19="Oui",'Suivi Agents'!$F19&gt;0,U$4=1,U$3&lt;=Paramètres!$B$10),U19/'Suivi Agents'!$G19+U19/1000+(1000-ROW())/10000000,-1)</f>
        <v>-1</v>
      </c>
      <c r="V64" s="44">
        <f>IF(AND('Suivi Agents'!$C19="Oui",'Suivi Agents'!$F19&gt;0,V$4=1,V$3&lt;=Paramètres!$B$10),V19/'Suivi Agents'!$G19+V19/1000+(1000-ROW())/10000000,-1)</f>
        <v>-1</v>
      </c>
      <c r="W64" s="44">
        <f>IF(AND('Suivi Agents'!$C19="Oui",'Suivi Agents'!$F19&gt;0,W$4=1,W$3&lt;=Paramètres!$B$10),W19/'Suivi Agents'!$G19+W19/1000+(1000-ROW())/10000000,-1)</f>
        <v>-1</v>
      </c>
      <c r="X64" s="44">
        <f>IF(AND('Suivi Agents'!$C19="Oui",'Suivi Agents'!$F19&gt;0,X$4=1,X$3&lt;=Paramètres!$B$10),X19/'Suivi Agents'!$G19+X19/1000+(1000-ROW())/10000000,-1)</f>
        <v>-1</v>
      </c>
      <c r="Y64" s="44">
        <f>IF(AND('Suivi Agents'!$C19="Oui",'Suivi Agents'!$F19&gt;0,Y$4=1,Y$3&lt;=Paramètres!$B$10),Y19/'Suivi Agents'!$G19+Y19/1000+(1000-ROW())/10000000,-1)</f>
        <v>-1</v>
      </c>
      <c r="Z64" s="44">
        <f>IF(AND('Suivi Agents'!$C19="Oui",'Suivi Agents'!$F19&gt;0,Z$4=1,Z$3&lt;=Paramètres!$B$10),Z19/'Suivi Agents'!$G19+Z19/1000+(1000-ROW())/10000000,-1)</f>
        <v>-1</v>
      </c>
      <c r="AA64" s="44">
        <f>IF(AND('Suivi Agents'!$C19="Oui",'Suivi Agents'!$F19&gt;0,AA$4=1,AA$3&lt;=Paramètres!$B$10),AA19/'Suivi Agents'!$G19+AA19/1000+(1000-ROW())/10000000,-1)</f>
        <v>-1</v>
      </c>
      <c r="AB64" s="44">
        <f>IF(AND('Suivi Agents'!$C19="Oui",'Suivi Agents'!$F19&gt;0,AB$4=1,AB$3&lt;=Paramètres!$B$10),AB19/'Suivi Agents'!$G19+AB19/1000+(1000-ROW())/10000000,-1)</f>
        <v>-1</v>
      </c>
      <c r="AC64" s="44">
        <f>IF(AND('Suivi Agents'!$C19="Oui",'Suivi Agents'!$F19&gt;0,AC$4=1,AC$3&lt;=Paramètres!$B$10),AC19/'Suivi Agents'!$G19+AC19/1000+(1000-ROW())/10000000,-1)</f>
        <v>-1</v>
      </c>
      <c r="AD64" s="44">
        <f>IF(AND('Suivi Agents'!$C19="Oui",'Suivi Agents'!$F19&gt;0,AD$4=1,AD$3&lt;=Paramètres!$B$10),AD19/'Suivi Agents'!$G19+AD19/1000+(1000-ROW())/10000000,-1)</f>
        <v>-1</v>
      </c>
      <c r="AE64" s="44">
        <f>IF(AND('Suivi Agents'!$C19="Oui",'Suivi Agents'!$F19&gt;0,AE$4=1,AE$3&lt;=Paramètres!$B$10),AE19/'Suivi Agents'!$G19+AE19/1000+(1000-ROW())/10000000,-1)</f>
        <v>-1</v>
      </c>
      <c r="AF64" s="44">
        <f>IF(AND('Suivi Agents'!$C19="Oui",'Suivi Agents'!$F19&gt;0,AF$4=1,AF$3&lt;=Paramètres!$B$10),AF19/'Suivi Agents'!$G19+AF19/1000+(1000-ROW())/10000000,-1)</f>
        <v>-1</v>
      </c>
      <c r="AG64" s="44">
        <f>IF(AND('Suivi Agents'!$C19="Oui",'Suivi Agents'!$F19&gt;0,AG$4=1,AG$3&lt;=Paramètres!$B$10),AG19/'Suivi Agents'!$G19+AG19/1000+(1000-ROW())/10000000,-1)</f>
        <v>-1</v>
      </c>
      <c r="AH64" s="44">
        <f>IF(AND('Suivi Agents'!$C19="Oui",'Suivi Agents'!$F19&gt;0,AH$4=1,AH$3&lt;=Paramètres!$B$10),AH19/'Suivi Agents'!$G19+AH19/1000+(1000-ROW())/10000000,-1)</f>
        <v>-1</v>
      </c>
    </row>
    <row r="65" spans="1:34" x14ac:dyDescent="0.45">
      <c r="A65" s="8" t="str">
        <f t="shared" si="0"/>
        <v>ALPHA</v>
      </c>
      <c r="B65" s="8" t="str">
        <f t="shared" si="0"/>
        <v>pms_rgz_dconstant.ftth</v>
      </c>
      <c r="D65" s="44">
        <f>IF(AND('Suivi Agents'!$C20="Oui",'Suivi Agents'!$F20&gt;0,D$4=1,D$3&lt;=Paramètres!$B$10),D20/'Suivi Agents'!$G20+D20/1000+(1000-ROW())/10000000,-1)</f>
        <v>9.3499999999999996E-5</v>
      </c>
      <c r="E65" s="44">
        <f>IF(AND('Suivi Agents'!$C20="Oui",'Suivi Agents'!$F20&gt;0,E$4=1,E$3&lt;=Paramètres!$B$10),E20/'Suivi Agents'!$G20+E20/1000+(1000-ROW())/10000000,-1)</f>
        <v>-1</v>
      </c>
      <c r="F65" s="44">
        <f>IF(AND('Suivi Agents'!$C20="Oui",'Suivi Agents'!$F20&gt;0,F$4=1,F$3&lt;=Paramètres!$B$10),F20/'Suivi Agents'!$G20+F20/1000+(1000-ROW())/10000000,-1)</f>
        <v>-1</v>
      </c>
      <c r="G65" s="44">
        <f>IF(AND('Suivi Agents'!$C20="Oui",'Suivi Agents'!$F20&gt;0,G$4=1,G$3&lt;=Paramètres!$B$10),G20/'Suivi Agents'!$G20+G20/1000+(1000-ROW())/10000000,-1)</f>
        <v>-1</v>
      </c>
      <c r="H65" s="44">
        <f>IF(AND('Suivi Agents'!$C20="Oui",'Suivi Agents'!$F20&gt;0,H$4=1,H$3&lt;=Paramètres!$B$10),H20/'Suivi Agents'!$G20+H20/1000+(1000-ROW())/10000000,-1)</f>
        <v>-1</v>
      </c>
      <c r="I65" s="44">
        <f>IF(AND('Suivi Agents'!$C20="Oui",'Suivi Agents'!$F20&gt;0,I$4=1,I$3&lt;=Paramètres!$B$10),I20/'Suivi Agents'!$G20+I20/1000+(1000-ROW())/10000000,-1)</f>
        <v>-1</v>
      </c>
      <c r="J65" s="44">
        <f>IF(AND('Suivi Agents'!$C20="Oui",'Suivi Agents'!$F20&gt;0,J$4=1,J$3&lt;=Paramètres!$B$10),J20/'Suivi Agents'!$G20+J20/1000+(1000-ROW())/10000000,-1)</f>
        <v>-1</v>
      </c>
      <c r="K65" s="44">
        <f>IF(AND('Suivi Agents'!$C20="Oui",'Suivi Agents'!$F20&gt;0,K$4=1,K$3&lt;=Paramètres!$B$10),K20/'Suivi Agents'!$G20+K20/1000+(1000-ROW())/10000000,-1)</f>
        <v>-1</v>
      </c>
      <c r="L65" s="44">
        <f>IF(AND('Suivi Agents'!$C20="Oui",'Suivi Agents'!$F20&gt;0,L$4=1,L$3&lt;=Paramètres!$B$10),L20/'Suivi Agents'!$G20+L20/1000+(1000-ROW())/10000000,-1)</f>
        <v>-1</v>
      </c>
      <c r="M65" s="44">
        <f>IF(AND('Suivi Agents'!$C20="Oui",'Suivi Agents'!$F20&gt;0,M$4=1,M$3&lt;=Paramètres!$B$10),M20/'Suivi Agents'!$G20+M20/1000+(1000-ROW())/10000000,-1)</f>
        <v>-1</v>
      </c>
      <c r="N65" s="44">
        <f>IF(AND('Suivi Agents'!$C20="Oui",'Suivi Agents'!$F20&gt;0,N$4=1,N$3&lt;=Paramètres!$B$10),N20/'Suivi Agents'!$G20+N20/1000+(1000-ROW())/10000000,-1)</f>
        <v>-1</v>
      </c>
      <c r="O65" s="44">
        <f>IF(AND('Suivi Agents'!$C20="Oui",'Suivi Agents'!$F20&gt;0,O$4=1,O$3&lt;=Paramètres!$B$10),O20/'Suivi Agents'!$G20+O20/1000+(1000-ROW())/10000000,-1)</f>
        <v>-1</v>
      </c>
      <c r="P65" s="44">
        <f>IF(AND('Suivi Agents'!$C20="Oui",'Suivi Agents'!$F20&gt;0,P$4=1,P$3&lt;=Paramètres!$B$10),P20/'Suivi Agents'!$G20+P20/1000+(1000-ROW())/10000000,-1)</f>
        <v>-1</v>
      </c>
      <c r="Q65" s="44">
        <f>IF(AND('Suivi Agents'!$C20="Oui",'Suivi Agents'!$F20&gt;0,Q$4=1,Q$3&lt;=Paramètres!$B$10),Q20/'Suivi Agents'!$G20+Q20/1000+(1000-ROW())/10000000,-1)</f>
        <v>-1</v>
      </c>
      <c r="R65" s="44">
        <f>IF(AND('Suivi Agents'!$C20="Oui",'Suivi Agents'!$F20&gt;0,R$4=1,R$3&lt;=Paramètres!$B$10),R20/'Suivi Agents'!$G20+R20/1000+(1000-ROW())/10000000,-1)</f>
        <v>-1</v>
      </c>
      <c r="S65" s="44">
        <f>IF(AND('Suivi Agents'!$C20="Oui",'Suivi Agents'!$F20&gt;0,S$4=1,S$3&lt;=Paramètres!$B$10),S20/'Suivi Agents'!$G20+S20/1000+(1000-ROW())/10000000,-1)</f>
        <v>-1</v>
      </c>
      <c r="T65" s="44">
        <f>IF(AND('Suivi Agents'!$C20="Oui",'Suivi Agents'!$F20&gt;0,T$4=1,T$3&lt;=Paramètres!$B$10),T20/'Suivi Agents'!$G20+T20/1000+(1000-ROW())/10000000,-1)</f>
        <v>-1</v>
      </c>
      <c r="U65" s="44">
        <f>IF(AND('Suivi Agents'!$C20="Oui",'Suivi Agents'!$F20&gt;0,U$4=1,U$3&lt;=Paramètres!$B$10),U20/'Suivi Agents'!$G20+U20/1000+(1000-ROW())/10000000,-1)</f>
        <v>-1</v>
      </c>
      <c r="V65" s="44">
        <f>IF(AND('Suivi Agents'!$C20="Oui",'Suivi Agents'!$F20&gt;0,V$4=1,V$3&lt;=Paramètres!$B$10),V20/'Suivi Agents'!$G20+V20/1000+(1000-ROW())/10000000,-1)</f>
        <v>-1</v>
      </c>
      <c r="W65" s="44">
        <f>IF(AND('Suivi Agents'!$C20="Oui",'Suivi Agents'!$F20&gt;0,W$4=1,W$3&lt;=Paramètres!$B$10),W20/'Suivi Agents'!$G20+W20/1000+(1000-ROW())/10000000,-1)</f>
        <v>-1</v>
      </c>
      <c r="X65" s="44">
        <f>IF(AND('Suivi Agents'!$C20="Oui",'Suivi Agents'!$F20&gt;0,X$4=1,X$3&lt;=Paramètres!$B$10),X20/'Suivi Agents'!$G20+X20/1000+(1000-ROW())/10000000,-1)</f>
        <v>-1</v>
      </c>
      <c r="Y65" s="44">
        <f>IF(AND('Suivi Agents'!$C20="Oui",'Suivi Agents'!$F20&gt;0,Y$4=1,Y$3&lt;=Paramètres!$B$10),Y20/'Suivi Agents'!$G20+Y20/1000+(1000-ROW())/10000000,-1)</f>
        <v>-1</v>
      </c>
      <c r="Z65" s="44">
        <f>IF(AND('Suivi Agents'!$C20="Oui",'Suivi Agents'!$F20&gt;0,Z$4=1,Z$3&lt;=Paramètres!$B$10),Z20/'Suivi Agents'!$G20+Z20/1000+(1000-ROW())/10000000,-1)</f>
        <v>-1</v>
      </c>
      <c r="AA65" s="44">
        <f>IF(AND('Suivi Agents'!$C20="Oui",'Suivi Agents'!$F20&gt;0,AA$4=1,AA$3&lt;=Paramètres!$B$10),AA20/'Suivi Agents'!$G20+AA20/1000+(1000-ROW())/10000000,-1)</f>
        <v>-1</v>
      </c>
      <c r="AB65" s="44">
        <f>IF(AND('Suivi Agents'!$C20="Oui",'Suivi Agents'!$F20&gt;0,AB$4=1,AB$3&lt;=Paramètres!$B$10),AB20/'Suivi Agents'!$G20+AB20/1000+(1000-ROW())/10000000,-1)</f>
        <v>-1</v>
      </c>
      <c r="AC65" s="44">
        <f>IF(AND('Suivi Agents'!$C20="Oui",'Suivi Agents'!$F20&gt;0,AC$4=1,AC$3&lt;=Paramètres!$B$10),AC20/'Suivi Agents'!$G20+AC20/1000+(1000-ROW())/10000000,-1)</f>
        <v>-1</v>
      </c>
      <c r="AD65" s="44">
        <f>IF(AND('Suivi Agents'!$C20="Oui",'Suivi Agents'!$F20&gt;0,AD$4=1,AD$3&lt;=Paramètres!$B$10),AD20/'Suivi Agents'!$G20+AD20/1000+(1000-ROW())/10000000,-1)</f>
        <v>-1</v>
      </c>
      <c r="AE65" s="44">
        <f>IF(AND('Suivi Agents'!$C20="Oui",'Suivi Agents'!$F20&gt;0,AE$4=1,AE$3&lt;=Paramètres!$B$10),AE20/'Suivi Agents'!$G20+AE20/1000+(1000-ROW())/10000000,-1)</f>
        <v>-1</v>
      </c>
      <c r="AF65" s="44">
        <f>IF(AND('Suivi Agents'!$C20="Oui",'Suivi Agents'!$F20&gt;0,AF$4=1,AF$3&lt;=Paramètres!$B$10),AF20/'Suivi Agents'!$G20+AF20/1000+(1000-ROW())/10000000,-1)</f>
        <v>-1</v>
      </c>
      <c r="AG65" s="44">
        <f>IF(AND('Suivi Agents'!$C20="Oui",'Suivi Agents'!$F20&gt;0,AG$4=1,AG$3&lt;=Paramètres!$B$10),AG20/'Suivi Agents'!$G20+AG20/1000+(1000-ROW())/10000000,-1)</f>
        <v>-1</v>
      </c>
      <c r="AH65" s="44">
        <f>IF(AND('Suivi Agents'!$C20="Oui",'Suivi Agents'!$F20&gt;0,AH$4=1,AH$3&lt;=Paramètres!$B$10),AH20/'Suivi Agents'!$G20+AH20/1000+(1000-ROW())/10000000,-1)</f>
        <v>-1</v>
      </c>
    </row>
    <row r="66" spans="1:34" x14ac:dyDescent="0.45">
      <c r="A66" s="8" t="str">
        <f t="shared" si="0"/>
        <v>ALPHA</v>
      </c>
      <c r="B66" s="8" t="str">
        <f t="shared" si="0"/>
        <v>pvt_rgz_bboris.ftth</v>
      </c>
      <c r="D66" s="44">
        <f>IF(AND('Suivi Agents'!$C21="Oui",'Suivi Agents'!$F21&gt;0,D$4=1,D$3&lt;=Paramètres!$B$10),D21/'Suivi Agents'!$G21+D21/1000+(1000-ROW())/10000000,-1)</f>
        <v>9.3399999999999993E-5</v>
      </c>
      <c r="E66" s="44">
        <f>IF(AND('Suivi Agents'!$C21="Oui",'Suivi Agents'!$F21&gt;0,E$4=1,E$3&lt;=Paramètres!$B$10),E21/'Suivi Agents'!$G21+E21/1000+(1000-ROW())/10000000,-1)</f>
        <v>-1</v>
      </c>
      <c r="F66" s="44">
        <f>IF(AND('Suivi Agents'!$C21="Oui",'Suivi Agents'!$F21&gt;0,F$4=1,F$3&lt;=Paramètres!$B$10),F21/'Suivi Agents'!$G21+F21/1000+(1000-ROW())/10000000,-1)</f>
        <v>-1</v>
      </c>
      <c r="G66" s="44">
        <f>IF(AND('Suivi Agents'!$C21="Oui",'Suivi Agents'!$F21&gt;0,G$4=1,G$3&lt;=Paramètres!$B$10),G21/'Suivi Agents'!$G21+G21/1000+(1000-ROW())/10000000,-1)</f>
        <v>-1</v>
      </c>
      <c r="H66" s="44">
        <f>IF(AND('Suivi Agents'!$C21="Oui",'Suivi Agents'!$F21&gt;0,H$4=1,H$3&lt;=Paramètres!$B$10),H21/'Suivi Agents'!$G21+H21/1000+(1000-ROW())/10000000,-1)</f>
        <v>-1</v>
      </c>
      <c r="I66" s="44">
        <f>IF(AND('Suivi Agents'!$C21="Oui",'Suivi Agents'!$F21&gt;0,I$4=1,I$3&lt;=Paramètres!$B$10),I21/'Suivi Agents'!$G21+I21/1000+(1000-ROW())/10000000,-1)</f>
        <v>-1</v>
      </c>
      <c r="J66" s="44">
        <f>IF(AND('Suivi Agents'!$C21="Oui",'Suivi Agents'!$F21&gt;0,J$4=1,J$3&lt;=Paramètres!$B$10),J21/'Suivi Agents'!$G21+J21/1000+(1000-ROW())/10000000,-1)</f>
        <v>-1</v>
      </c>
      <c r="K66" s="44">
        <f>IF(AND('Suivi Agents'!$C21="Oui",'Suivi Agents'!$F21&gt;0,K$4=1,K$3&lt;=Paramètres!$B$10),K21/'Suivi Agents'!$G21+K21/1000+(1000-ROW())/10000000,-1)</f>
        <v>-1</v>
      </c>
      <c r="L66" s="44">
        <f>IF(AND('Suivi Agents'!$C21="Oui",'Suivi Agents'!$F21&gt;0,L$4=1,L$3&lt;=Paramètres!$B$10),L21/'Suivi Agents'!$G21+L21/1000+(1000-ROW())/10000000,-1)</f>
        <v>-1</v>
      </c>
      <c r="M66" s="44">
        <f>IF(AND('Suivi Agents'!$C21="Oui",'Suivi Agents'!$F21&gt;0,M$4=1,M$3&lt;=Paramètres!$B$10),M21/'Suivi Agents'!$G21+M21/1000+(1000-ROW())/10000000,-1)</f>
        <v>-1</v>
      </c>
      <c r="N66" s="44">
        <f>IF(AND('Suivi Agents'!$C21="Oui",'Suivi Agents'!$F21&gt;0,N$4=1,N$3&lt;=Paramètres!$B$10),N21/'Suivi Agents'!$G21+N21/1000+(1000-ROW())/10000000,-1)</f>
        <v>-1</v>
      </c>
      <c r="O66" s="44">
        <f>IF(AND('Suivi Agents'!$C21="Oui",'Suivi Agents'!$F21&gt;0,O$4=1,O$3&lt;=Paramètres!$B$10),O21/'Suivi Agents'!$G21+O21/1000+(1000-ROW())/10000000,-1)</f>
        <v>-1</v>
      </c>
      <c r="P66" s="44">
        <f>IF(AND('Suivi Agents'!$C21="Oui",'Suivi Agents'!$F21&gt;0,P$4=1,P$3&lt;=Paramètres!$B$10),P21/'Suivi Agents'!$G21+P21/1000+(1000-ROW())/10000000,-1)</f>
        <v>-1</v>
      </c>
      <c r="Q66" s="44">
        <f>IF(AND('Suivi Agents'!$C21="Oui",'Suivi Agents'!$F21&gt;0,Q$4=1,Q$3&lt;=Paramètres!$B$10),Q21/'Suivi Agents'!$G21+Q21/1000+(1000-ROW())/10000000,-1)</f>
        <v>-1</v>
      </c>
      <c r="R66" s="44">
        <f>IF(AND('Suivi Agents'!$C21="Oui",'Suivi Agents'!$F21&gt;0,R$4=1,R$3&lt;=Paramètres!$B$10),R21/'Suivi Agents'!$G21+R21/1000+(1000-ROW())/10000000,-1)</f>
        <v>-1</v>
      </c>
      <c r="S66" s="44">
        <f>IF(AND('Suivi Agents'!$C21="Oui",'Suivi Agents'!$F21&gt;0,S$4=1,S$3&lt;=Paramètres!$B$10),S21/'Suivi Agents'!$G21+S21/1000+(1000-ROW())/10000000,-1)</f>
        <v>-1</v>
      </c>
      <c r="T66" s="44">
        <f>IF(AND('Suivi Agents'!$C21="Oui",'Suivi Agents'!$F21&gt;0,T$4=1,T$3&lt;=Paramètres!$B$10),T21/'Suivi Agents'!$G21+T21/1000+(1000-ROW())/10000000,-1)</f>
        <v>-1</v>
      </c>
      <c r="U66" s="44">
        <f>IF(AND('Suivi Agents'!$C21="Oui",'Suivi Agents'!$F21&gt;0,U$4=1,U$3&lt;=Paramètres!$B$10),U21/'Suivi Agents'!$G21+U21/1000+(1000-ROW())/10000000,-1)</f>
        <v>-1</v>
      </c>
      <c r="V66" s="44">
        <f>IF(AND('Suivi Agents'!$C21="Oui",'Suivi Agents'!$F21&gt;0,V$4=1,V$3&lt;=Paramètres!$B$10),V21/'Suivi Agents'!$G21+V21/1000+(1000-ROW())/10000000,-1)</f>
        <v>-1</v>
      </c>
      <c r="W66" s="44">
        <f>IF(AND('Suivi Agents'!$C21="Oui",'Suivi Agents'!$F21&gt;0,W$4=1,W$3&lt;=Paramètres!$B$10),W21/'Suivi Agents'!$G21+W21/1000+(1000-ROW())/10000000,-1)</f>
        <v>-1</v>
      </c>
      <c r="X66" s="44">
        <f>IF(AND('Suivi Agents'!$C21="Oui",'Suivi Agents'!$F21&gt;0,X$4=1,X$3&lt;=Paramètres!$B$10),X21/'Suivi Agents'!$G21+X21/1000+(1000-ROW())/10000000,-1)</f>
        <v>-1</v>
      </c>
      <c r="Y66" s="44">
        <f>IF(AND('Suivi Agents'!$C21="Oui",'Suivi Agents'!$F21&gt;0,Y$4=1,Y$3&lt;=Paramètres!$B$10),Y21/'Suivi Agents'!$G21+Y21/1000+(1000-ROW())/10000000,-1)</f>
        <v>-1</v>
      </c>
      <c r="Z66" s="44">
        <f>IF(AND('Suivi Agents'!$C21="Oui",'Suivi Agents'!$F21&gt;0,Z$4=1,Z$3&lt;=Paramètres!$B$10),Z21/'Suivi Agents'!$G21+Z21/1000+(1000-ROW())/10000000,-1)</f>
        <v>-1</v>
      </c>
      <c r="AA66" s="44">
        <f>IF(AND('Suivi Agents'!$C21="Oui",'Suivi Agents'!$F21&gt;0,AA$4=1,AA$3&lt;=Paramètres!$B$10),AA21/'Suivi Agents'!$G21+AA21/1000+(1000-ROW())/10000000,-1)</f>
        <v>-1</v>
      </c>
      <c r="AB66" s="44">
        <f>IF(AND('Suivi Agents'!$C21="Oui",'Suivi Agents'!$F21&gt;0,AB$4=1,AB$3&lt;=Paramètres!$B$10),AB21/'Suivi Agents'!$G21+AB21/1000+(1000-ROW())/10000000,-1)</f>
        <v>-1</v>
      </c>
      <c r="AC66" s="44">
        <f>IF(AND('Suivi Agents'!$C21="Oui",'Suivi Agents'!$F21&gt;0,AC$4=1,AC$3&lt;=Paramètres!$B$10),AC21/'Suivi Agents'!$G21+AC21/1000+(1000-ROW())/10000000,-1)</f>
        <v>-1</v>
      </c>
      <c r="AD66" s="44">
        <f>IF(AND('Suivi Agents'!$C21="Oui",'Suivi Agents'!$F21&gt;0,AD$4=1,AD$3&lt;=Paramètres!$B$10),AD21/'Suivi Agents'!$G21+AD21/1000+(1000-ROW())/10000000,-1)</f>
        <v>-1</v>
      </c>
      <c r="AE66" s="44">
        <f>IF(AND('Suivi Agents'!$C21="Oui",'Suivi Agents'!$F21&gt;0,AE$4=1,AE$3&lt;=Paramètres!$B$10),AE21/'Suivi Agents'!$G21+AE21/1000+(1000-ROW())/10000000,-1)</f>
        <v>-1</v>
      </c>
      <c r="AF66" s="44">
        <f>IF(AND('Suivi Agents'!$C21="Oui",'Suivi Agents'!$F21&gt;0,AF$4=1,AF$3&lt;=Paramètres!$B$10),AF21/'Suivi Agents'!$G21+AF21/1000+(1000-ROW())/10000000,-1)</f>
        <v>-1</v>
      </c>
      <c r="AG66" s="44">
        <f>IF(AND('Suivi Agents'!$C21="Oui",'Suivi Agents'!$F21&gt;0,AG$4=1,AG$3&lt;=Paramètres!$B$10),AG21/'Suivi Agents'!$G21+AG21/1000+(1000-ROW())/10000000,-1)</f>
        <v>-1</v>
      </c>
      <c r="AH66" s="44">
        <f>IF(AND('Suivi Agents'!$C21="Oui",'Suivi Agents'!$F21&gt;0,AH$4=1,AH$3&lt;=Paramètres!$B$10),AH21/'Suivi Agents'!$G21+AH21/1000+(1000-ROW())/10000000,-1)</f>
        <v>-1</v>
      </c>
    </row>
    <row r="67" spans="1:34" x14ac:dyDescent="0.45">
      <c r="A67" s="8" t="str">
        <f t="shared" si="0"/>
        <v>TANGO</v>
      </c>
      <c r="B67" s="8" t="str">
        <f t="shared" si="0"/>
        <v>pvt_rgz_dthibaut.ftth</v>
      </c>
      <c r="D67" s="44">
        <f>IF(AND('Suivi Agents'!$C22="Oui",'Suivi Agents'!$F22&gt;0,D$4=1,D$3&lt;=Paramètres!$B$10),D22/'Suivi Agents'!$G22+D22/1000+(1000-ROW())/10000000,-1)</f>
        <v>9.3300000000000005E-5</v>
      </c>
      <c r="E67" s="44">
        <f>IF(AND('Suivi Agents'!$C22="Oui",'Suivi Agents'!$F22&gt;0,E$4=1,E$3&lt;=Paramètres!$B$10),E22/'Suivi Agents'!$G22+E22/1000+(1000-ROW())/10000000,-1)</f>
        <v>-1</v>
      </c>
      <c r="F67" s="44">
        <f>IF(AND('Suivi Agents'!$C22="Oui",'Suivi Agents'!$F22&gt;0,F$4=1,F$3&lt;=Paramètres!$B$10),F22/'Suivi Agents'!$G22+F22/1000+(1000-ROW())/10000000,-1)</f>
        <v>-1</v>
      </c>
      <c r="G67" s="44">
        <f>IF(AND('Suivi Agents'!$C22="Oui",'Suivi Agents'!$F22&gt;0,G$4=1,G$3&lt;=Paramètres!$B$10),G22/'Suivi Agents'!$G22+G22/1000+(1000-ROW())/10000000,-1)</f>
        <v>-1</v>
      </c>
      <c r="H67" s="44">
        <f>IF(AND('Suivi Agents'!$C22="Oui",'Suivi Agents'!$F22&gt;0,H$4=1,H$3&lt;=Paramètres!$B$10),H22/'Suivi Agents'!$G22+H22/1000+(1000-ROW())/10000000,-1)</f>
        <v>-1</v>
      </c>
      <c r="I67" s="44">
        <f>IF(AND('Suivi Agents'!$C22="Oui",'Suivi Agents'!$F22&gt;0,I$4=1,I$3&lt;=Paramètres!$B$10),I22/'Suivi Agents'!$G22+I22/1000+(1000-ROW())/10000000,-1)</f>
        <v>-1</v>
      </c>
      <c r="J67" s="44">
        <f>IF(AND('Suivi Agents'!$C22="Oui",'Suivi Agents'!$F22&gt;0,J$4=1,J$3&lt;=Paramètres!$B$10),J22/'Suivi Agents'!$G22+J22/1000+(1000-ROW())/10000000,-1)</f>
        <v>-1</v>
      </c>
      <c r="K67" s="44">
        <f>IF(AND('Suivi Agents'!$C22="Oui",'Suivi Agents'!$F22&gt;0,K$4=1,K$3&lt;=Paramètres!$B$10),K22/'Suivi Agents'!$G22+K22/1000+(1000-ROW())/10000000,-1)</f>
        <v>-1</v>
      </c>
      <c r="L67" s="44">
        <f>IF(AND('Suivi Agents'!$C22="Oui",'Suivi Agents'!$F22&gt;0,L$4=1,L$3&lt;=Paramètres!$B$10),L22/'Suivi Agents'!$G22+L22/1000+(1000-ROW())/10000000,-1)</f>
        <v>-1</v>
      </c>
      <c r="M67" s="44">
        <f>IF(AND('Suivi Agents'!$C22="Oui",'Suivi Agents'!$F22&gt;0,M$4=1,M$3&lt;=Paramètres!$B$10),M22/'Suivi Agents'!$G22+M22/1000+(1000-ROW())/10000000,-1)</f>
        <v>-1</v>
      </c>
      <c r="N67" s="44">
        <f>IF(AND('Suivi Agents'!$C22="Oui",'Suivi Agents'!$F22&gt;0,N$4=1,N$3&lt;=Paramètres!$B$10),N22/'Suivi Agents'!$G22+N22/1000+(1000-ROW())/10000000,-1)</f>
        <v>-1</v>
      </c>
      <c r="O67" s="44">
        <f>IF(AND('Suivi Agents'!$C22="Oui",'Suivi Agents'!$F22&gt;0,O$4=1,O$3&lt;=Paramètres!$B$10),O22/'Suivi Agents'!$G22+O22/1000+(1000-ROW())/10000000,-1)</f>
        <v>-1</v>
      </c>
      <c r="P67" s="44">
        <f>IF(AND('Suivi Agents'!$C22="Oui",'Suivi Agents'!$F22&gt;0,P$4=1,P$3&lt;=Paramètres!$B$10),P22/'Suivi Agents'!$G22+P22/1000+(1000-ROW())/10000000,-1)</f>
        <v>-1</v>
      </c>
      <c r="Q67" s="44">
        <f>IF(AND('Suivi Agents'!$C22="Oui",'Suivi Agents'!$F22&gt;0,Q$4=1,Q$3&lt;=Paramètres!$B$10),Q22/'Suivi Agents'!$G22+Q22/1000+(1000-ROW())/10000000,-1)</f>
        <v>-1</v>
      </c>
      <c r="R67" s="44">
        <f>IF(AND('Suivi Agents'!$C22="Oui",'Suivi Agents'!$F22&gt;0,R$4=1,R$3&lt;=Paramètres!$B$10),R22/'Suivi Agents'!$G22+R22/1000+(1000-ROW())/10000000,-1)</f>
        <v>-1</v>
      </c>
      <c r="S67" s="44">
        <f>IF(AND('Suivi Agents'!$C22="Oui",'Suivi Agents'!$F22&gt;0,S$4=1,S$3&lt;=Paramètres!$B$10),S22/'Suivi Agents'!$G22+S22/1000+(1000-ROW())/10000000,-1)</f>
        <v>-1</v>
      </c>
      <c r="T67" s="44">
        <f>IF(AND('Suivi Agents'!$C22="Oui",'Suivi Agents'!$F22&gt;0,T$4=1,T$3&lt;=Paramètres!$B$10),T22/'Suivi Agents'!$G22+T22/1000+(1000-ROW())/10000000,-1)</f>
        <v>-1</v>
      </c>
      <c r="U67" s="44">
        <f>IF(AND('Suivi Agents'!$C22="Oui",'Suivi Agents'!$F22&gt;0,U$4=1,U$3&lt;=Paramètres!$B$10),U22/'Suivi Agents'!$G22+U22/1000+(1000-ROW())/10000000,-1)</f>
        <v>-1</v>
      </c>
      <c r="V67" s="44">
        <f>IF(AND('Suivi Agents'!$C22="Oui",'Suivi Agents'!$F22&gt;0,V$4=1,V$3&lt;=Paramètres!$B$10),V22/'Suivi Agents'!$G22+V22/1000+(1000-ROW())/10000000,-1)</f>
        <v>-1</v>
      </c>
      <c r="W67" s="44">
        <f>IF(AND('Suivi Agents'!$C22="Oui",'Suivi Agents'!$F22&gt;0,W$4=1,W$3&lt;=Paramètres!$B$10),W22/'Suivi Agents'!$G22+W22/1000+(1000-ROW())/10000000,-1)</f>
        <v>-1</v>
      </c>
      <c r="X67" s="44">
        <f>IF(AND('Suivi Agents'!$C22="Oui",'Suivi Agents'!$F22&gt;0,X$4=1,X$3&lt;=Paramètres!$B$10),X22/'Suivi Agents'!$G22+X22/1000+(1000-ROW())/10000000,-1)</f>
        <v>-1</v>
      </c>
      <c r="Y67" s="44">
        <f>IF(AND('Suivi Agents'!$C22="Oui",'Suivi Agents'!$F22&gt;0,Y$4=1,Y$3&lt;=Paramètres!$B$10),Y22/'Suivi Agents'!$G22+Y22/1000+(1000-ROW())/10000000,-1)</f>
        <v>-1</v>
      </c>
      <c r="Z67" s="44">
        <f>IF(AND('Suivi Agents'!$C22="Oui",'Suivi Agents'!$F22&gt;0,Z$4=1,Z$3&lt;=Paramètres!$B$10),Z22/'Suivi Agents'!$G22+Z22/1000+(1000-ROW())/10000000,-1)</f>
        <v>-1</v>
      </c>
      <c r="AA67" s="44">
        <f>IF(AND('Suivi Agents'!$C22="Oui",'Suivi Agents'!$F22&gt;0,AA$4=1,AA$3&lt;=Paramètres!$B$10),AA22/'Suivi Agents'!$G22+AA22/1000+(1000-ROW())/10000000,-1)</f>
        <v>-1</v>
      </c>
      <c r="AB67" s="44">
        <f>IF(AND('Suivi Agents'!$C22="Oui",'Suivi Agents'!$F22&gt;0,AB$4=1,AB$3&lt;=Paramètres!$B$10),AB22/'Suivi Agents'!$G22+AB22/1000+(1000-ROW())/10000000,-1)</f>
        <v>-1</v>
      </c>
      <c r="AC67" s="44">
        <f>IF(AND('Suivi Agents'!$C22="Oui",'Suivi Agents'!$F22&gt;0,AC$4=1,AC$3&lt;=Paramètres!$B$10),AC22/'Suivi Agents'!$G22+AC22/1000+(1000-ROW())/10000000,-1)</f>
        <v>-1</v>
      </c>
      <c r="AD67" s="44">
        <f>IF(AND('Suivi Agents'!$C22="Oui",'Suivi Agents'!$F22&gt;0,AD$4=1,AD$3&lt;=Paramètres!$B$10),AD22/'Suivi Agents'!$G22+AD22/1000+(1000-ROW())/10000000,-1)</f>
        <v>-1</v>
      </c>
      <c r="AE67" s="44">
        <f>IF(AND('Suivi Agents'!$C22="Oui",'Suivi Agents'!$F22&gt;0,AE$4=1,AE$3&lt;=Paramètres!$B$10),AE22/'Suivi Agents'!$G22+AE22/1000+(1000-ROW())/10000000,-1)</f>
        <v>-1</v>
      </c>
      <c r="AF67" s="44">
        <f>IF(AND('Suivi Agents'!$C22="Oui",'Suivi Agents'!$F22&gt;0,AF$4=1,AF$3&lt;=Paramètres!$B$10),AF22/'Suivi Agents'!$G22+AF22/1000+(1000-ROW())/10000000,-1)</f>
        <v>-1</v>
      </c>
      <c r="AG67" s="44">
        <f>IF(AND('Suivi Agents'!$C22="Oui",'Suivi Agents'!$F22&gt;0,AG$4=1,AG$3&lt;=Paramètres!$B$10),AG22/'Suivi Agents'!$G22+AG22/1000+(1000-ROW())/10000000,-1)</f>
        <v>-1</v>
      </c>
      <c r="AH67" s="44">
        <f>IF(AND('Suivi Agents'!$C22="Oui",'Suivi Agents'!$F22&gt;0,AH$4=1,AH$3&lt;=Paramètres!$B$10),AH22/'Suivi Agents'!$G22+AH22/1000+(1000-ROW())/10000000,-1)</f>
        <v>-1</v>
      </c>
    </row>
    <row r="68" spans="1:34" x14ac:dyDescent="0.45">
      <c r="A68" s="8" t="str">
        <f t="shared" si="0"/>
        <v>TANGO</v>
      </c>
      <c r="B68" s="8" t="str">
        <f t="shared" si="0"/>
        <v>pms_rgz_hfrancine.ftth</v>
      </c>
      <c r="D68" s="44">
        <f>IF(AND('Suivi Agents'!$C23="Oui",'Suivi Agents'!$F23&gt;0,D$4=1,D$3&lt;=Paramètres!$B$10),D23/'Suivi Agents'!$G23+D23/1000+(1000-ROW())/10000000,-1)</f>
        <v>9.3200000000000002E-5</v>
      </c>
      <c r="E68" s="44">
        <f>IF(AND('Suivi Agents'!$C23="Oui",'Suivi Agents'!$F23&gt;0,E$4=1,E$3&lt;=Paramètres!$B$10),E23/'Suivi Agents'!$G23+E23/1000+(1000-ROW())/10000000,-1)</f>
        <v>-1</v>
      </c>
      <c r="F68" s="44">
        <f>IF(AND('Suivi Agents'!$C23="Oui",'Suivi Agents'!$F23&gt;0,F$4=1,F$3&lt;=Paramètres!$B$10),F23/'Suivi Agents'!$G23+F23/1000+(1000-ROW())/10000000,-1)</f>
        <v>-1</v>
      </c>
      <c r="G68" s="44">
        <f>IF(AND('Suivi Agents'!$C23="Oui",'Suivi Agents'!$F23&gt;0,G$4=1,G$3&lt;=Paramètres!$B$10),G23/'Suivi Agents'!$G23+G23/1000+(1000-ROW())/10000000,-1)</f>
        <v>-1</v>
      </c>
      <c r="H68" s="44">
        <f>IF(AND('Suivi Agents'!$C23="Oui",'Suivi Agents'!$F23&gt;0,H$4=1,H$3&lt;=Paramètres!$B$10),H23/'Suivi Agents'!$G23+H23/1000+(1000-ROW())/10000000,-1)</f>
        <v>-1</v>
      </c>
      <c r="I68" s="44">
        <f>IF(AND('Suivi Agents'!$C23="Oui",'Suivi Agents'!$F23&gt;0,I$4=1,I$3&lt;=Paramètres!$B$10),I23/'Suivi Agents'!$G23+I23/1000+(1000-ROW())/10000000,-1)</f>
        <v>-1</v>
      </c>
      <c r="J68" s="44">
        <f>IF(AND('Suivi Agents'!$C23="Oui",'Suivi Agents'!$F23&gt;0,J$4=1,J$3&lt;=Paramètres!$B$10),J23/'Suivi Agents'!$G23+J23/1000+(1000-ROW())/10000000,-1)</f>
        <v>-1</v>
      </c>
      <c r="K68" s="44">
        <f>IF(AND('Suivi Agents'!$C23="Oui",'Suivi Agents'!$F23&gt;0,K$4=1,K$3&lt;=Paramètres!$B$10),K23/'Suivi Agents'!$G23+K23/1000+(1000-ROW())/10000000,-1)</f>
        <v>-1</v>
      </c>
      <c r="L68" s="44">
        <f>IF(AND('Suivi Agents'!$C23="Oui",'Suivi Agents'!$F23&gt;0,L$4=1,L$3&lt;=Paramètres!$B$10),L23/'Suivi Agents'!$G23+L23/1000+(1000-ROW())/10000000,-1)</f>
        <v>-1</v>
      </c>
      <c r="M68" s="44">
        <f>IF(AND('Suivi Agents'!$C23="Oui",'Suivi Agents'!$F23&gt;0,M$4=1,M$3&lt;=Paramètres!$B$10),M23/'Suivi Agents'!$G23+M23/1000+(1000-ROW())/10000000,-1)</f>
        <v>-1</v>
      </c>
      <c r="N68" s="44">
        <f>IF(AND('Suivi Agents'!$C23="Oui",'Suivi Agents'!$F23&gt;0,N$4=1,N$3&lt;=Paramètres!$B$10),N23/'Suivi Agents'!$G23+N23/1000+(1000-ROW())/10000000,-1)</f>
        <v>-1</v>
      </c>
      <c r="O68" s="44">
        <f>IF(AND('Suivi Agents'!$C23="Oui",'Suivi Agents'!$F23&gt;0,O$4=1,O$3&lt;=Paramètres!$B$10),O23/'Suivi Agents'!$G23+O23/1000+(1000-ROW())/10000000,-1)</f>
        <v>-1</v>
      </c>
      <c r="P68" s="44">
        <f>IF(AND('Suivi Agents'!$C23="Oui",'Suivi Agents'!$F23&gt;0,P$4=1,P$3&lt;=Paramètres!$B$10),P23/'Suivi Agents'!$G23+P23/1000+(1000-ROW())/10000000,-1)</f>
        <v>-1</v>
      </c>
      <c r="Q68" s="44">
        <f>IF(AND('Suivi Agents'!$C23="Oui",'Suivi Agents'!$F23&gt;0,Q$4=1,Q$3&lt;=Paramètres!$B$10),Q23/'Suivi Agents'!$G23+Q23/1000+(1000-ROW())/10000000,-1)</f>
        <v>-1</v>
      </c>
      <c r="R68" s="44">
        <f>IF(AND('Suivi Agents'!$C23="Oui",'Suivi Agents'!$F23&gt;0,R$4=1,R$3&lt;=Paramètres!$B$10),R23/'Suivi Agents'!$G23+R23/1000+(1000-ROW())/10000000,-1)</f>
        <v>-1</v>
      </c>
      <c r="S68" s="44">
        <f>IF(AND('Suivi Agents'!$C23="Oui",'Suivi Agents'!$F23&gt;0,S$4=1,S$3&lt;=Paramètres!$B$10),S23/'Suivi Agents'!$G23+S23/1000+(1000-ROW())/10000000,-1)</f>
        <v>-1</v>
      </c>
      <c r="T68" s="44">
        <f>IF(AND('Suivi Agents'!$C23="Oui",'Suivi Agents'!$F23&gt;0,T$4=1,T$3&lt;=Paramètres!$B$10),T23/'Suivi Agents'!$G23+T23/1000+(1000-ROW())/10000000,-1)</f>
        <v>-1</v>
      </c>
      <c r="U68" s="44">
        <f>IF(AND('Suivi Agents'!$C23="Oui",'Suivi Agents'!$F23&gt;0,U$4=1,U$3&lt;=Paramètres!$B$10),U23/'Suivi Agents'!$G23+U23/1000+(1000-ROW())/10000000,-1)</f>
        <v>-1</v>
      </c>
      <c r="V68" s="44">
        <f>IF(AND('Suivi Agents'!$C23="Oui",'Suivi Agents'!$F23&gt;0,V$4=1,V$3&lt;=Paramètres!$B$10),V23/'Suivi Agents'!$G23+V23/1000+(1000-ROW())/10000000,-1)</f>
        <v>-1</v>
      </c>
      <c r="W68" s="44">
        <f>IF(AND('Suivi Agents'!$C23="Oui",'Suivi Agents'!$F23&gt;0,W$4=1,W$3&lt;=Paramètres!$B$10),W23/'Suivi Agents'!$G23+W23/1000+(1000-ROW())/10000000,-1)</f>
        <v>-1</v>
      </c>
      <c r="X68" s="44">
        <f>IF(AND('Suivi Agents'!$C23="Oui",'Suivi Agents'!$F23&gt;0,X$4=1,X$3&lt;=Paramètres!$B$10),X23/'Suivi Agents'!$G23+X23/1000+(1000-ROW())/10000000,-1)</f>
        <v>-1</v>
      </c>
      <c r="Y68" s="44">
        <f>IF(AND('Suivi Agents'!$C23="Oui",'Suivi Agents'!$F23&gt;0,Y$4=1,Y$3&lt;=Paramètres!$B$10),Y23/'Suivi Agents'!$G23+Y23/1000+(1000-ROW())/10000000,-1)</f>
        <v>-1</v>
      </c>
      <c r="Z68" s="44">
        <f>IF(AND('Suivi Agents'!$C23="Oui",'Suivi Agents'!$F23&gt;0,Z$4=1,Z$3&lt;=Paramètres!$B$10),Z23/'Suivi Agents'!$G23+Z23/1000+(1000-ROW())/10000000,-1)</f>
        <v>-1</v>
      </c>
      <c r="AA68" s="44">
        <f>IF(AND('Suivi Agents'!$C23="Oui",'Suivi Agents'!$F23&gt;0,AA$4=1,AA$3&lt;=Paramètres!$B$10),AA23/'Suivi Agents'!$G23+AA23/1000+(1000-ROW())/10000000,-1)</f>
        <v>-1</v>
      </c>
      <c r="AB68" s="44">
        <f>IF(AND('Suivi Agents'!$C23="Oui",'Suivi Agents'!$F23&gt;0,AB$4=1,AB$3&lt;=Paramètres!$B$10),AB23/'Suivi Agents'!$G23+AB23/1000+(1000-ROW())/10000000,-1)</f>
        <v>-1</v>
      </c>
      <c r="AC68" s="44">
        <f>IF(AND('Suivi Agents'!$C23="Oui",'Suivi Agents'!$F23&gt;0,AC$4=1,AC$3&lt;=Paramètres!$B$10),AC23/'Suivi Agents'!$G23+AC23/1000+(1000-ROW())/10000000,-1)</f>
        <v>-1</v>
      </c>
      <c r="AD68" s="44">
        <f>IF(AND('Suivi Agents'!$C23="Oui",'Suivi Agents'!$F23&gt;0,AD$4=1,AD$3&lt;=Paramètres!$B$10),AD23/'Suivi Agents'!$G23+AD23/1000+(1000-ROW())/10000000,-1)</f>
        <v>-1</v>
      </c>
      <c r="AE68" s="44">
        <f>IF(AND('Suivi Agents'!$C23="Oui",'Suivi Agents'!$F23&gt;0,AE$4=1,AE$3&lt;=Paramètres!$B$10),AE23/'Suivi Agents'!$G23+AE23/1000+(1000-ROW())/10000000,-1)</f>
        <v>-1</v>
      </c>
      <c r="AF68" s="44">
        <f>IF(AND('Suivi Agents'!$C23="Oui",'Suivi Agents'!$F23&gt;0,AF$4=1,AF$3&lt;=Paramètres!$B$10),AF23/'Suivi Agents'!$G23+AF23/1000+(1000-ROW())/10000000,-1)</f>
        <v>-1</v>
      </c>
      <c r="AG68" s="44">
        <f>IF(AND('Suivi Agents'!$C23="Oui",'Suivi Agents'!$F23&gt;0,AG$4=1,AG$3&lt;=Paramètres!$B$10),AG23/'Suivi Agents'!$G23+AG23/1000+(1000-ROW())/10000000,-1)</f>
        <v>-1</v>
      </c>
      <c r="AH68" s="44">
        <f>IF(AND('Suivi Agents'!$C23="Oui",'Suivi Agents'!$F23&gt;0,AH$4=1,AH$3&lt;=Paramètres!$B$10),AH23/'Suivi Agents'!$G23+AH23/1000+(1000-ROW())/10000000,-1)</f>
        <v>-1</v>
      </c>
    </row>
    <row r="69" spans="1:34" x14ac:dyDescent="0.45">
      <c r="A69" s="8" t="str">
        <f t="shared" si="0"/>
        <v>TANGO</v>
      </c>
      <c r="B69" s="8" t="str">
        <f t="shared" si="0"/>
        <v>pvt_rgz_wdiane.ftth</v>
      </c>
      <c r="D69" s="44">
        <f>IF(AND('Suivi Agents'!$C24="Oui",'Suivi Agents'!$F24&gt;0,D$4=1,D$3&lt;=Paramètres!$B$10),D24/'Suivi Agents'!$G24+D24/1000+(1000-ROW())/10000000,-1)</f>
        <v>9.31E-5</v>
      </c>
      <c r="E69" s="44">
        <f>IF(AND('Suivi Agents'!$C24="Oui",'Suivi Agents'!$F24&gt;0,E$4=1,E$3&lt;=Paramètres!$B$10),E24/'Suivi Agents'!$G24+E24/1000+(1000-ROW())/10000000,-1)</f>
        <v>-1</v>
      </c>
      <c r="F69" s="44">
        <f>IF(AND('Suivi Agents'!$C24="Oui",'Suivi Agents'!$F24&gt;0,F$4=1,F$3&lt;=Paramètres!$B$10),F24/'Suivi Agents'!$G24+F24/1000+(1000-ROW())/10000000,-1)</f>
        <v>-1</v>
      </c>
      <c r="G69" s="44">
        <f>IF(AND('Suivi Agents'!$C24="Oui",'Suivi Agents'!$F24&gt;0,G$4=1,G$3&lt;=Paramètres!$B$10),G24/'Suivi Agents'!$G24+G24/1000+(1000-ROW())/10000000,-1)</f>
        <v>-1</v>
      </c>
      <c r="H69" s="44">
        <f>IF(AND('Suivi Agents'!$C24="Oui",'Suivi Agents'!$F24&gt;0,H$4=1,H$3&lt;=Paramètres!$B$10),H24/'Suivi Agents'!$G24+H24/1000+(1000-ROW())/10000000,-1)</f>
        <v>-1</v>
      </c>
      <c r="I69" s="44">
        <f>IF(AND('Suivi Agents'!$C24="Oui",'Suivi Agents'!$F24&gt;0,I$4=1,I$3&lt;=Paramètres!$B$10),I24/'Suivi Agents'!$G24+I24/1000+(1000-ROW())/10000000,-1)</f>
        <v>-1</v>
      </c>
      <c r="J69" s="44">
        <f>IF(AND('Suivi Agents'!$C24="Oui",'Suivi Agents'!$F24&gt;0,J$4=1,J$3&lt;=Paramètres!$B$10),J24/'Suivi Agents'!$G24+J24/1000+(1000-ROW())/10000000,-1)</f>
        <v>-1</v>
      </c>
      <c r="K69" s="44">
        <f>IF(AND('Suivi Agents'!$C24="Oui",'Suivi Agents'!$F24&gt;0,K$4=1,K$3&lt;=Paramètres!$B$10),K24/'Suivi Agents'!$G24+K24/1000+(1000-ROW())/10000000,-1)</f>
        <v>-1</v>
      </c>
      <c r="L69" s="44">
        <f>IF(AND('Suivi Agents'!$C24="Oui",'Suivi Agents'!$F24&gt;0,L$4=1,L$3&lt;=Paramètres!$B$10),L24/'Suivi Agents'!$G24+L24/1000+(1000-ROW())/10000000,-1)</f>
        <v>-1</v>
      </c>
      <c r="M69" s="44">
        <f>IF(AND('Suivi Agents'!$C24="Oui",'Suivi Agents'!$F24&gt;0,M$4=1,M$3&lt;=Paramètres!$B$10),M24/'Suivi Agents'!$G24+M24/1000+(1000-ROW())/10000000,-1)</f>
        <v>-1</v>
      </c>
      <c r="N69" s="44">
        <f>IF(AND('Suivi Agents'!$C24="Oui",'Suivi Agents'!$F24&gt;0,N$4=1,N$3&lt;=Paramètres!$B$10),N24/'Suivi Agents'!$G24+N24/1000+(1000-ROW())/10000000,-1)</f>
        <v>-1</v>
      </c>
      <c r="O69" s="44">
        <f>IF(AND('Suivi Agents'!$C24="Oui",'Suivi Agents'!$F24&gt;0,O$4=1,O$3&lt;=Paramètres!$B$10),O24/'Suivi Agents'!$G24+O24/1000+(1000-ROW())/10000000,-1)</f>
        <v>-1</v>
      </c>
      <c r="P69" s="44">
        <f>IF(AND('Suivi Agents'!$C24="Oui",'Suivi Agents'!$F24&gt;0,P$4=1,P$3&lt;=Paramètres!$B$10),P24/'Suivi Agents'!$G24+P24/1000+(1000-ROW())/10000000,-1)</f>
        <v>-1</v>
      </c>
      <c r="Q69" s="44">
        <f>IF(AND('Suivi Agents'!$C24="Oui",'Suivi Agents'!$F24&gt;0,Q$4=1,Q$3&lt;=Paramètres!$B$10),Q24/'Suivi Agents'!$G24+Q24/1000+(1000-ROW())/10000000,-1)</f>
        <v>-1</v>
      </c>
      <c r="R69" s="44">
        <f>IF(AND('Suivi Agents'!$C24="Oui",'Suivi Agents'!$F24&gt;0,R$4=1,R$3&lt;=Paramètres!$B$10),R24/'Suivi Agents'!$G24+R24/1000+(1000-ROW())/10000000,-1)</f>
        <v>-1</v>
      </c>
      <c r="S69" s="44">
        <f>IF(AND('Suivi Agents'!$C24="Oui",'Suivi Agents'!$F24&gt;0,S$4=1,S$3&lt;=Paramètres!$B$10),S24/'Suivi Agents'!$G24+S24/1000+(1000-ROW())/10000000,-1)</f>
        <v>-1</v>
      </c>
      <c r="T69" s="44">
        <f>IF(AND('Suivi Agents'!$C24="Oui",'Suivi Agents'!$F24&gt;0,T$4=1,T$3&lt;=Paramètres!$B$10),T24/'Suivi Agents'!$G24+T24/1000+(1000-ROW())/10000000,-1)</f>
        <v>-1</v>
      </c>
      <c r="U69" s="44">
        <f>IF(AND('Suivi Agents'!$C24="Oui",'Suivi Agents'!$F24&gt;0,U$4=1,U$3&lt;=Paramètres!$B$10),U24/'Suivi Agents'!$G24+U24/1000+(1000-ROW())/10000000,-1)</f>
        <v>-1</v>
      </c>
      <c r="V69" s="44">
        <f>IF(AND('Suivi Agents'!$C24="Oui",'Suivi Agents'!$F24&gt;0,V$4=1,V$3&lt;=Paramètres!$B$10),V24/'Suivi Agents'!$G24+V24/1000+(1000-ROW())/10000000,-1)</f>
        <v>-1</v>
      </c>
      <c r="W69" s="44">
        <f>IF(AND('Suivi Agents'!$C24="Oui",'Suivi Agents'!$F24&gt;0,W$4=1,W$3&lt;=Paramètres!$B$10),W24/'Suivi Agents'!$G24+W24/1000+(1000-ROW())/10000000,-1)</f>
        <v>-1</v>
      </c>
      <c r="X69" s="44">
        <f>IF(AND('Suivi Agents'!$C24="Oui",'Suivi Agents'!$F24&gt;0,X$4=1,X$3&lt;=Paramètres!$B$10),X24/'Suivi Agents'!$G24+X24/1000+(1000-ROW())/10000000,-1)</f>
        <v>-1</v>
      </c>
      <c r="Y69" s="44">
        <f>IF(AND('Suivi Agents'!$C24="Oui",'Suivi Agents'!$F24&gt;0,Y$4=1,Y$3&lt;=Paramètres!$B$10),Y24/'Suivi Agents'!$G24+Y24/1000+(1000-ROW())/10000000,-1)</f>
        <v>-1</v>
      </c>
      <c r="Z69" s="44">
        <f>IF(AND('Suivi Agents'!$C24="Oui",'Suivi Agents'!$F24&gt;0,Z$4=1,Z$3&lt;=Paramètres!$B$10),Z24/'Suivi Agents'!$G24+Z24/1000+(1000-ROW())/10000000,-1)</f>
        <v>-1</v>
      </c>
      <c r="AA69" s="44">
        <f>IF(AND('Suivi Agents'!$C24="Oui",'Suivi Agents'!$F24&gt;0,AA$4=1,AA$3&lt;=Paramètres!$B$10),AA24/'Suivi Agents'!$G24+AA24/1000+(1000-ROW())/10000000,-1)</f>
        <v>-1</v>
      </c>
      <c r="AB69" s="44">
        <f>IF(AND('Suivi Agents'!$C24="Oui",'Suivi Agents'!$F24&gt;0,AB$4=1,AB$3&lt;=Paramètres!$B$10),AB24/'Suivi Agents'!$G24+AB24/1000+(1000-ROW())/10000000,-1)</f>
        <v>-1</v>
      </c>
      <c r="AC69" s="44">
        <f>IF(AND('Suivi Agents'!$C24="Oui",'Suivi Agents'!$F24&gt;0,AC$4=1,AC$3&lt;=Paramètres!$B$10),AC24/'Suivi Agents'!$G24+AC24/1000+(1000-ROW())/10000000,-1)</f>
        <v>-1</v>
      </c>
      <c r="AD69" s="44">
        <f>IF(AND('Suivi Agents'!$C24="Oui",'Suivi Agents'!$F24&gt;0,AD$4=1,AD$3&lt;=Paramètres!$B$10),AD24/'Suivi Agents'!$G24+AD24/1000+(1000-ROW())/10000000,-1)</f>
        <v>-1</v>
      </c>
      <c r="AE69" s="44">
        <f>IF(AND('Suivi Agents'!$C24="Oui",'Suivi Agents'!$F24&gt;0,AE$4=1,AE$3&lt;=Paramètres!$B$10),AE24/'Suivi Agents'!$G24+AE24/1000+(1000-ROW())/10000000,-1)</f>
        <v>-1</v>
      </c>
      <c r="AF69" s="44">
        <f>IF(AND('Suivi Agents'!$C24="Oui",'Suivi Agents'!$F24&gt;0,AF$4=1,AF$3&lt;=Paramètres!$B$10),AF24/'Suivi Agents'!$G24+AF24/1000+(1000-ROW())/10000000,-1)</f>
        <v>-1</v>
      </c>
      <c r="AG69" s="44">
        <f>IF(AND('Suivi Agents'!$C24="Oui",'Suivi Agents'!$F24&gt;0,AG$4=1,AG$3&lt;=Paramètres!$B$10),AG24/'Suivi Agents'!$G24+AG24/1000+(1000-ROW())/10000000,-1)</f>
        <v>-1</v>
      </c>
      <c r="AH69" s="44">
        <f>IF(AND('Suivi Agents'!$C24="Oui",'Suivi Agents'!$F24&gt;0,AH$4=1,AH$3&lt;=Paramètres!$B$10),AH24/'Suivi Agents'!$G24+AH24/1000+(1000-ROW())/10000000,-1)</f>
        <v>-1</v>
      </c>
    </row>
    <row r="70" spans="1:34" x14ac:dyDescent="0.45">
      <c r="A70" s="8" t="str">
        <f t="shared" si="0"/>
        <v>TANGO</v>
      </c>
      <c r="B70" s="8" t="str">
        <f t="shared" si="0"/>
        <v>pvt_rgz_gsahoui.ftth</v>
      </c>
      <c r="D70" s="44">
        <f>IF(AND('Suivi Agents'!$C25="Oui",'Suivi Agents'!$F25&gt;0,D$4=1,D$3&lt;=Paramètres!$B$10),D25/'Suivi Agents'!$G25+D25/1000+(1000-ROW())/10000000,-1)</f>
        <v>9.2999999999999997E-5</v>
      </c>
      <c r="E70" s="44">
        <f>IF(AND('Suivi Agents'!$C25="Oui",'Suivi Agents'!$F25&gt;0,E$4=1,E$3&lt;=Paramètres!$B$10),E25/'Suivi Agents'!$G25+E25/1000+(1000-ROW())/10000000,-1)</f>
        <v>-1</v>
      </c>
      <c r="F70" s="44">
        <f>IF(AND('Suivi Agents'!$C25="Oui",'Suivi Agents'!$F25&gt;0,F$4=1,F$3&lt;=Paramètres!$B$10),F25/'Suivi Agents'!$G25+F25/1000+(1000-ROW())/10000000,-1)</f>
        <v>-1</v>
      </c>
      <c r="G70" s="44">
        <f>IF(AND('Suivi Agents'!$C25="Oui",'Suivi Agents'!$F25&gt;0,G$4=1,G$3&lt;=Paramètres!$B$10),G25/'Suivi Agents'!$G25+G25/1000+(1000-ROW())/10000000,-1)</f>
        <v>-1</v>
      </c>
      <c r="H70" s="44">
        <f>IF(AND('Suivi Agents'!$C25="Oui",'Suivi Agents'!$F25&gt;0,H$4=1,H$3&lt;=Paramètres!$B$10),H25/'Suivi Agents'!$G25+H25/1000+(1000-ROW())/10000000,-1)</f>
        <v>-1</v>
      </c>
      <c r="I70" s="44">
        <f>IF(AND('Suivi Agents'!$C25="Oui",'Suivi Agents'!$F25&gt;0,I$4=1,I$3&lt;=Paramètres!$B$10),I25/'Suivi Agents'!$G25+I25/1000+(1000-ROW())/10000000,-1)</f>
        <v>-1</v>
      </c>
      <c r="J70" s="44">
        <f>IF(AND('Suivi Agents'!$C25="Oui",'Suivi Agents'!$F25&gt;0,J$4=1,J$3&lt;=Paramètres!$B$10),J25/'Suivi Agents'!$G25+J25/1000+(1000-ROW())/10000000,-1)</f>
        <v>-1</v>
      </c>
      <c r="K70" s="44">
        <f>IF(AND('Suivi Agents'!$C25="Oui",'Suivi Agents'!$F25&gt;0,K$4=1,K$3&lt;=Paramètres!$B$10),K25/'Suivi Agents'!$G25+K25/1000+(1000-ROW())/10000000,-1)</f>
        <v>-1</v>
      </c>
      <c r="L70" s="44">
        <f>IF(AND('Suivi Agents'!$C25="Oui",'Suivi Agents'!$F25&gt;0,L$4=1,L$3&lt;=Paramètres!$B$10),L25/'Suivi Agents'!$G25+L25/1000+(1000-ROW())/10000000,-1)</f>
        <v>-1</v>
      </c>
      <c r="M70" s="44">
        <f>IF(AND('Suivi Agents'!$C25="Oui",'Suivi Agents'!$F25&gt;0,M$4=1,M$3&lt;=Paramètres!$B$10),M25/'Suivi Agents'!$G25+M25/1000+(1000-ROW())/10000000,-1)</f>
        <v>-1</v>
      </c>
      <c r="N70" s="44">
        <f>IF(AND('Suivi Agents'!$C25="Oui",'Suivi Agents'!$F25&gt;0,N$4=1,N$3&lt;=Paramètres!$B$10),N25/'Suivi Agents'!$G25+N25/1000+(1000-ROW())/10000000,-1)</f>
        <v>-1</v>
      </c>
      <c r="O70" s="44">
        <f>IF(AND('Suivi Agents'!$C25="Oui",'Suivi Agents'!$F25&gt;0,O$4=1,O$3&lt;=Paramètres!$B$10),O25/'Suivi Agents'!$G25+O25/1000+(1000-ROW())/10000000,-1)</f>
        <v>-1</v>
      </c>
      <c r="P70" s="44">
        <f>IF(AND('Suivi Agents'!$C25="Oui",'Suivi Agents'!$F25&gt;0,P$4=1,P$3&lt;=Paramètres!$B$10),P25/'Suivi Agents'!$G25+P25/1000+(1000-ROW())/10000000,-1)</f>
        <v>-1</v>
      </c>
      <c r="Q70" s="44">
        <f>IF(AND('Suivi Agents'!$C25="Oui",'Suivi Agents'!$F25&gt;0,Q$4=1,Q$3&lt;=Paramètres!$B$10),Q25/'Suivi Agents'!$G25+Q25/1000+(1000-ROW())/10000000,-1)</f>
        <v>-1</v>
      </c>
      <c r="R70" s="44">
        <f>IF(AND('Suivi Agents'!$C25="Oui",'Suivi Agents'!$F25&gt;0,R$4=1,R$3&lt;=Paramètres!$B$10),R25/'Suivi Agents'!$G25+R25/1000+(1000-ROW())/10000000,-1)</f>
        <v>-1</v>
      </c>
      <c r="S70" s="44">
        <f>IF(AND('Suivi Agents'!$C25="Oui",'Suivi Agents'!$F25&gt;0,S$4=1,S$3&lt;=Paramètres!$B$10),S25/'Suivi Agents'!$G25+S25/1000+(1000-ROW())/10000000,-1)</f>
        <v>-1</v>
      </c>
      <c r="T70" s="44">
        <f>IF(AND('Suivi Agents'!$C25="Oui",'Suivi Agents'!$F25&gt;0,T$4=1,T$3&lt;=Paramètres!$B$10),T25/'Suivi Agents'!$G25+T25/1000+(1000-ROW())/10000000,-1)</f>
        <v>-1</v>
      </c>
      <c r="U70" s="44">
        <f>IF(AND('Suivi Agents'!$C25="Oui",'Suivi Agents'!$F25&gt;0,U$4=1,U$3&lt;=Paramètres!$B$10),U25/'Suivi Agents'!$G25+U25/1000+(1000-ROW())/10000000,-1)</f>
        <v>-1</v>
      </c>
      <c r="V70" s="44">
        <f>IF(AND('Suivi Agents'!$C25="Oui",'Suivi Agents'!$F25&gt;0,V$4=1,V$3&lt;=Paramètres!$B$10),V25/'Suivi Agents'!$G25+V25/1000+(1000-ROW())/10000000,-1)</f>
        <v>-1</v>
      </c>
      <c r="W70" s="44">
        <f>IF(AND('Suivi Agents'!$C25="Oui",'Suivi Agents'!$F25&gt;0,W$4=1,W$3&lt;=Paramètres!$B$10),W25/'Suivi Agents'!$G25+W25/1000+(1000-ROW())/10000000,-1)</f>
        <v>-1</v>
      </c>
      <c r="X70" s="44">
        <f>IF(AND('Suivi Agents'!$C25="Oui",'Suivi Agents'!$F25&gt;0,X$4=1,X$3&lt;=Paramètres!$B$10),X25/'Suivi Agents'!$G25+X25/1000+(1000-ROW())/10000000,-1)</f>
        <v>-1</v>
      </c>
      <c r="Y70" s="44">
        <f>IF(AND('Suivi Agents'!$C25="Oui",'Suivi Agents'!$F25&gt;0,Y$4=1,Y$3&lt;=Paramètres!$B$10),Y25/'Suivi Agents'!$G25+Y25/1000+(1000-ROW())/10000000,-1)</f>
        <v>-1</v>
      </c>
      <c r="Z70" s="44">
        <f>IF(AND('Suivi Agents'!$C25="Oui",'Suivi Agents'!$F25&gt;0,Z$4=1,Z$3&lt;=Paramètres!$B$10),Z25/'Suivi Agents'!$G25+Z25/1000+(1000-ROW())/10000000,-1)</f>
        <v>-1</v>
      </c>
      <c r="AA70" s="44">
        <f>IF(AND('Suivi Agents'!$C25="Oui",'Suivi Agents'!$F25&gt;0,AA$4=1,AA$3&lt;=Paramètres!$B$10),AA25/'Suivi Agents'!$G25+AA25/1000+(1000-ROW())/10000000,-1)</f>
        <v>-1</v>
      </c>
      <c r="AB70" s="44">
        <f>IF(AND('Suivi Agents'!$C25="Oui",'Suivi Agents'!$F25&gt;0,AB$4=1,AB$3&lt;=Paramètres!$B$10),AB25/'Suivi Agents'!$G25+AB25/1000+(1000-ROW())/10000000,-1)</f>
        <v>-1</v>
      </c>
      <c r="AC70" s="44">
        <f>IF(AND('Suivi Agents'!$C25="Oui",'Suivi Agents'!$F25&gt;0,AC$4=1,AC$3&lt;=Paramètres!$B$10),AC25/'Suivi Agents'!$G25+AC25/1000+(1000-ROW())/10000000,-1)</f>
        <v>-1</v>
      </c>
      <c r="AD70" s="44">
        <f>IF(AND('Suivi Agents'!$C25="Oui",'Suivi Agents'!$F25&gt;0,AD$4=1,AD$3&lt;=Paramètres!$B$10),AD25/'Suivi Agents'!$G25+AD25/1000+(1000-ROW())/10000000,-1)</f>
        <v>-1</v>
      </c>
      <c r="AE70" s="44">
        <f>IF(AND('Suivi Agents'!$C25="Oui",'Suivi Agents'!$F25&gt;0,AE$4=1,AE$3&lt;=Paramètres!$B$10),AE25/'Suivi Agents'!$G25+AE25/1000+(1000-ROW())/10000000,-1)</f>
        <v>-1</v>
      </c>
      <c r="AF70" s="44">
        <f>IF(AND('Suivi Agents'!$C25="Oui",'Suivi Agents'!$F25&gt;0,AF$4=1,AF$3&lt;=Paramètres!$B$10),AF25/'Suivi Agents'!$G25+AF25/1000+(1000-ROW())/10000000,-1)</f>
        <v>-1</v>
      </c>
      <c r="AG70" s="44">
        <f>IF(AND('Suivi Agents'!$C25="Oui",'Suivi Agents'!$F25&gt;0,AG$4=1,AG$3&lt;=Paramètres!$B$10),AG25/'Suivi Agents'!$G25+AG25/1000+(1000-ROW())/10000000,-1)</f>
        <v>-1</v>
      </c>
      <c r="AH70" s="44">
        <f>IF(AND('Suivi Agents'!$C25="Oui",'Suivi Agents'!$F25&gt;0,AH$4=1,AH$3&lt;=Paramètres!$B$10),AH25/'Suivi Agents'!$G25+AH25/1000+(1000-ROW())/10000000,-1)</f>
        <v>-1</v>
      </c>
    </row>
    <row r="71" spans="1:34" x14ac:dyDescent="0.45">
      <c r="A71" s="8" t="str">
        <f t="shared" ref="A71:B90" si="1">A26</f>
        <v>ZULU</v>
      </c>
      <c r="B71" s="8" t="str">
        <f t="shared" si="1"/>
        <v>pvt-rgz-olouis.ftth</v>
      </c>
      <c r="D71" s="44">
        <f>IF(AND('Suivi Agents'!$C26="Oui",'Suivi Agents'!$F26&gt;0,D$4=1,D$3&lt;=Paramètres!$B$10),D26/'Suivi Agents'!$G26+D26/1000+(1000-ROW())/10000000,-1)</f>
        <v>9.2899999999999995E-5</v>
      </c>
      <c r="E71" s="44">
        <f>IF(AND('Suivi Agents'!$C26="Oui",'Suivi Agents'!$F26&gt;0,E$4=1,E$3&lt;=Paramètres!$B$10),E26/'Suivi Agents'!$G26+E26/1000+(1000-ROW())/10000000,-1)</f>
        <v>-1</v>
      </c>
      <c r="F71" s="44">
        <f>IF(AND('Suivi Agents'!$C26="Oui",'Suivi Agents'!$F26&gt;0,F$4=1,F$3&lt;=Paramètres!$B$10),F26/'Suivi Agents'!$G26+F26/1000+(1000-ROW())/10000000,-1)</f>
        <v>-1</v>
      </c>
      <c r="G71" s="44">
        <f>IF(AND('Suivi Agents'!$C26="Oui",'Suivi Agents'!$F26&gt;0,G$4=1,G$3&lt;=Paramètres!$B$10),G26/'Suivi Agents'!$G26+G26/1000+(1000-ROW())/10000000,-1)</f>
        <v>-1</v>
      </c>
      <c r="H71" s="44">
        <f>IF(AND('Suivi Agents'!$C26="Oui",'Suivi Agents'!$F26&gt;0,H$4=1,H$3&lt;=Paramètres!$B$10),H26/'Suivi Agents'!$G26+H26/1000+(1000-ROW())/10000000,-1)</f>
        <v>-1</v>
      </c>
      <c r="I71" s="44">
        <f>IF(AND('Suivi Agents'!$C26="Oui",'Suivi Agents'!$F26&gt;0,I$4=1,I$3&lt;=Paramètres!$B$10),I26/'Suivi Agents'!$G26+I26/1000+(1000-ROW())/10000000,-1)</f>
        <v>-1</v>
      </c>
      <c r="J71" s="44">
        <f>IF(AND('Suivi Agents'!$C26="Oui",'Suivi Agents'!$F26&gt;0,J$4=1,J$3&lt;=Paramètres!$B$10),J26/'Suivi Agents'!$G26+J26/1000+(1000-ROW())/10000000,-1)</f>
        <v>-1</v>
      </c>
      <c r="K71" s="44">
        <f>IF(AND('Suivi Agents'!$C26="Oui",'Suivi Agents'!$F26&gt;0,K$4=1,K$3&lt;=Paramètres!$B$10),K26/'Suivi Agents'!$G26+K26/1000+(1000-ROW())/10000000,-1)</f>
        <v>-1</v>
      </c>
      <c r="L71" s="44">
        <f>IF(AND('Suivi Agents'!$C26="Oui",'Suivi Agents'!$F26&gt;0,L$4=1,L$3&lt;=Paramètres!$B$10),L26/'Suivi Agents'!$G26+L26/1000+(1000-ROW())/10000000,-1)</f>
        <v>-1</v>
      </c>
      <c r="M71" s="44">
        <f>IF(AND('Suivi Agents'!$C26="Oui",'Suivi Agents'!$F26&gt;0,M$4=1,M$3&lt;=Paramètres!$B$10),M26/'Suivi Agents'!$G26+M26/1000+(1000-ROW())/10000000,-1)</f>
        <v>-1</v>
      </c>
      <c r="N71" s="44">
        <f>IF(AND('Suivi Agents'!$C26="Oui",'Suivi Agents'!$F26&gt;0,N$4=1,N$3&lt;=Paramètres!$B$10),N26/'Suivi Agents'!$G26+N26/1000+(1000-ROW())/10000000,-1)</f>
        <v>-1</v>
      </c>
      <c r="O71" s="44">
        <f>IF(AND('Suivi Agents'!$C26="Oui",'Suivi Agents'!$F26&gt;0,O$4=1,O$3&lt;=Paramètres!$B$10),O26/'Suivi Agents'!$G26+O26/1000+(1000-ROW())/10000000,-1)</f>
        <v>-1</v>
      </c>
      <c r="P71" s="44">
        <f>IF(AND('Suivi Agents'!$C26="Oui",'Suivi Agents'!$F26&gt;0,P$4=1,P$3&lt;=Paramètres!$B$10),P26/'Suivi Agents'!$G26+P26/1000+(1000-ROW())/10000000,-1)</f>
        <v>-1</v>
      </c>
      <c r="Q71" s="44">
        <f>IF(AND('Suivi Agents'!$C26="Oui",'Suivi Agents'!$F26&gt;0,Q$4=1,Q$3&lt;=Paramètres!$B$10),Q26/'Suivi Agents'!$G26+Q26/1000+(1000-ROW())/10000000,-1)</f>
        <v>-1</v>
      </c>
      <c r="R71" s="44">
        <f>IF(AND('Suivi Agents'!$C26="Oui",'Suivi Agents'!$F26&gt;0,R$4=1,R$3&lt;=Paramètres!$B$10),R26/'Suivi Agents'!$G26+R26/1000+(1000-ROW())/10000000,-1)</f>
        <v>-1</v>
      </c>
      <c r="S71" s="44">
        <f>IF(AND('Suivi Agents'!$C26="Oui",'Suivi Agents'!$F26&gt;0,S$4=1,S$3&lt;=Paramètres!$B$10),S26/'Suivi Agents'!$G26+S26/1000+(1000-ROW())/10000000,-1)</f>
        <v>-1</v>
      </c>
      <c r="T71" s="44">
        <f>IF(AND('Suivi Agents'!$C26="Oui",'Suivi Agents'!$F26&gt;0,T$4=1,T$3&lt;=Paramètres!$B$10),T26/'Suivi Agents'!$G26+T26/1000+(1000-ROW())/10000000,-1)</f>
        <v>-1</v>
      </c>
      <c r="U71" s="44">
        <f>IF(AND('Suivi Agents'!$C26="Oui",'Suivi Agents'!$F26&gt;0,U$4=1,U$3&lt;=Paramètres!$B$10),U26/'Suivi Agents'!$G26+U26/1000+(1000-ROW())/10000000,-1)</f>
        <v>-1</v>
      </c>
      <c r="V71" s="44">
        <f>IF(AND('Suivi Agents'!$C26="Oui",'Suivi Agents'!$F26&gt;0,V$4=1,V$3&lt;=Paramètres!$B$10),V26/'Suivi Agents'!$G26+V26/1000+(1000-ROW())/10000000,-1)</f>
        <v>-1</v>
      </c>
      <c r="W71" s="44">
        <f>IF(AND('Suivi Agents'!$C26="Oui",'Suivi Agents'!$F26&gt;0,W$4=1,W$3&lt;=Paramètres!$B$10),W26/'Suivi Agents'!$G26+W26/1000+(1000-ROW())/10000000,-1)</f>
        <v>-1</v>
      </c>
      <c r="X71" s="44">
        <f>IF(AND('Suivi Agents'!$C26="Oui",'Suivi Agents'!$F26&gt;0,X$4=1,X$3&lt;=Paramètres!$B$10),X26/'Suivi Agents'!$G26+X26/1000+(1000-ROW())/10000000,-1)</f>
        <v>-1</v>
      </c>
      <c r="Y71" s="44">
        <f>IF(AND('Suivi Agents'!$C26="Oui",'Suivi Agents'!$F26&gt;0,Y$4=1,Y$3&lt;=Paramètres!$B$10),Y26/'Suivi Agents'!$G26+Y26/1000+(1000-ROW())/10000000,-1)</f>
        <v>-1</v>
      </c>
      <c r="Z71" s="44">
        <f>IF(AND('Suivi Agents'!$C26="Oui",'Suivi Agents'!$F26&gt;0,Z$4=1,Z$3&lt;=Paramètres!$B$10),Z26/'Suivi Agents'!$G26+Z26/1000+(1000-ROW())/10000000,-1)</f>
        <v>-1</v>
      </c>
      <c r="AA71" s="44">
        <f>IF(AND('Suivi Agents'!$C26="Oui",'Suivi Agents'!$F26&gt;0,AA$4=1,AA$3&lt;=Paramètres!$B$10),AA26/'Suivi Agents'!$G26+AA26/1000+(1000-ROW())/10000000,-1)</f>
        <v>-1</v>
      </c>
      <c r="AB71" s="44">
        <f>IF(AND('Suivi Agents'!$C26="Oui",'Suivi Agents'!$F26&gt;0,AB$4=1,AB$3&lt;=Paramètres!$B$10),AB26/'Suivi Agents'!$G26+AB26/1000+(1000-ROW())/10000000,-1)</f>
        <v>-1</v>
      </c>
      <c r="AC71" s="44">
        <f>IF(AND('Suivi Agents'!$C26="Oui",'Suivi Agents'!$F26&gt;0,AC$4=1,AC$3&lt;=Paramètres!$B$10),AC26/'Suivi Agents'!$G26+AC26/1000+(1000-ROW())/10000000,-1)</f>
        <v>-1</v>
      </c>
      <c r="AD71" s="44">
        <f>IF(AND('Suivi Agents'!$C26="Oui",'Suivi Agents'!$F26&gt;0,AD$4=1,AD$3&lt;=Paramètres!$B$10),AD26/'Suivi Agents'!$G26+AD26/1000+(1000-ROW())/10000000,-1)</f>
        <v>-1</v>
      </c>
      <c r="AE71" s="44">
        <f>IF(AND('Suivi Agents'!$C26="Oui",'Suivi Agents'!$F26&gt;0,AE$4=1,AE$3&lt;=Paramètres!$B$10),AE26/'Suivi Agents'!$G26+AE26/1000+(1000-ROW())/10000000,-1)</f>
        <v>-1</v>
      </c>
      <c r="AF71" s="44">
        <f>IF(AND('Suivi Agents'!$C26="Oui",'Suivi Agents'!$F26&gt;0,AF$4=1,AF$3&lt;=Paramètres!$B$10),AF26/'Suivi Agents'!$G26+AF26/1000+(1000-ROW())/10000000,-1)</f>
        <v>-1</v>
      </c>
      <c r="AG71" s="44">
        <f>IF(AND('Suivi Agents'!$C26="Oui",'Suivi Agents'!$F26&gt;0,AG$4=1,AG$3&lt;=Paramètres!$B$10),AG26/'Suivi Agents'!$G26+AG26/1000+(1000-ROW())/10000000,-1)</f>
        <v>-1</v>
      </c>
      <c r="AH71" s="44">
        <f>IF(AND('Suivi Agents'!$C26="Oui",'Suivi Agents'!$F26&gt;0,AH$4=1,AH$3&lt;=Paramètres!$B$10),AH26/'Suivi Agents'!$G26+AH26/1000+(1000-ROW())/10000000,-1)</f>
        <v>-1</v>
      </c>
    </row>
    <row r="72" spans="1:34" x14ac:dyDescent="0.45">
      <c r="A72" s="8" t="str">
        <f t="shared" si="1"/>
        <v>ZULU</v>
      </c>
      <c r="B72" s="8" t="str">
        <f t="shared" si="1"/>
        <v>pvt_rgz_ahugues.ftth</v>
      </c>
      <c r="D72" s="44">
        <f>IF(AND('Suivi Agents'!$C27="Oui",'Suivi Agents'!$F27&gt;0,D$4=1,D$3&lt;=Paramètres!$B$10),D27/'Suivi Agents'!$G27+D27/1000+(1000-ROW())/10000000,-1)</f>
        <v>9.2800000000000006E-5</v>
      </c>
      <c r="E72" s="44">
        <f>IF(AND('Suivi Agents'!$C27="Oui",'Suivi Agents'!$F27&gt;0,E$4=1,E$3&lt;=Paramètres!$B$10),E27/'Suivi Agents'!$G27+E27/1000+(1000-ROW())/10000000,-1)</f>
        <v>-1</v>
      </c>
      <c r="F72" s="44">
        <f>IF(AND('Suivi Agents'!$C27="Oui",'Suivi Agents'!$F27&gt;0,F$4=1,F$3&lt;=Paramètres!$B$10),F27/'Suivi Agents'!$G27+F27/1000+(1000-ROW())/10000000,-1)</f>
        <v>-1</v>
      </c>
      <c r="G72" s="44">
        <f>IF(AND('Suivi Agents'!$C27="Oui",'Suivi Agents'!$F27&gt;0,G$4=1,G$3&lt;=Paramètres!$B$10),G27/'Suivi Agents'!$G27+G27/1000+(1000-ROW())/10000000,-1)</f>
        <v>-1</v>
      </c>
      <c r="H72" s="44">
        <f>IF(AND('Suivi Agents'!$C27="Oui",'Suivi Agents'!$F27&gt;0,H$4=1,H$3&lt;=Paramètres!$B$10),H27/'Suivi Agents'!$G27+H27/1000+(1000-ROW())/10000000,-1)</f>
        <v>-1</v>
      </c>
      <c r="I72" s="44">
        <f>IF(AND('Suivi Agents'!$C27="Oui",'Suivi Agents'!$F27&gt;0,I$4=1,I$3&lt;=Paramètres!$B$10),I27/'Suivi Agents'!$G27+I27/1000+(1000-ROW())/10000000,-1)</f>
        <v>-1</v>
      </c>
      <c r="J72" s="44">
        <f>IF(AND('Suivi Agents'!$C27="Oui",'Suivi Agents'!$F27&gt;0,J$4=1,J$3&lt;=Paramètres!$B$10),J27/'Suivi Agents'!$G27+J27/1000+(1000-ROW())/10000000,-1)</f>
        <v>-1</v>
      </c>
      <c r="K72" s="44">
        <f>IF(AND('Suivi Agents'!$C27="Oui",'Suivi Agents'!$F27&gt;0,K$4=1,K$3&lt;=Paramètres!$B$10),K27/'Suivi Agents'!$G27+K27/1000+(1000-ROW())/10000000,-1)</f>
        <v>-1</v>
      </c>
      <c r="L72" s="44">
        <f>IF(AND('Suivi Agents'!$C27="Oui",'Suivi Agents'!$F27&gt;0,L$4=1,L$3&lt;=Paramètres!$B$10),L27/'Suivi Agents'!$G27+L27/1000+(1000-ROW())/10000000,-1)</f>
        <v>-1</v>
      </c>
      <c r="M72" s="44">
        <f>IF(AND('Suivi Agents'!$C27="Oui",'Suivi Agents'!$F27&gt;0,M$4=1,M$3&lt;=Paramètres!$B$10),M27/'Suivi Agents'!$G27+M27/1000+(1000-ROW())/10000000,-1)</f>
        <v>-1</v>
      </c>
      <c r="N72" s="44">
        <f>IF(AND('Suivi Agents'!$C27="Oui",'Suivi Agents'!$F27&gt;0,N$4=1,N$3&lt;=Paramètres!$B$10),N27/'Suivi Agents'!$G27+N27/1000+(1000-ROW())/10000000,-1)</f>
        <v>-1</v>
      </c>
      <c r="O72" s="44">
        <f>IF(AND('Suivi Agents'!$C27="Oui",'Suivi Agents'!$F27&gt;0,O$4=1,O$3&lt;=Paramètres!$B$10),O27/'Suivi Agents'!$G27+O27/1000+(1000-ROW())/10000000,-1)</f>
        <v>-1</v>
      </c>
      <c r="P72" s="44">
        <f>IF(AND('Suivi Agents'!$C27="Oui",'Suivi Agents'!$F27&gt;0,P$4=1,P$3&lt;=Paramètres!$B$10),P27/'Suivi Agents'!$G27+P27/1000+(1000-ROW())/10000000,-1)</f>
        <v>-1</v>
      </c>
      <c r="Q72" s="44">
        <f>IF(AND('Suivi Agents'!$C27="Oui",'Suivi Agents'!$F27&gt;0,Q$4=1,Q$3&lt;=Paramètres!$B$10),Q27/'Suivi Agents'!$G27+Q27/1000+(1000-ROW())/10000000,-1)</f>
        <v>-1</v>
      </c>
      <c r="R72" s="44">
        <f>IF(AND('Suivi Agents'!$C27="Oui",'Suivi Agents'!$F27&gt;0,R$4=1,R$3&lt;=Paramètres!$B$10),R27/'Suivi Agents'!$G27+R27/1000+(1000-ROW())/10000000,-1)</f>
        <v>-1</v>
      </c>
      <c r="S72" s="44">
        <f>IF(AND('Suivi Agents'!$C27="Oui",'Suivi Agents'!$F27&gt;0,S$4=1,S$3&lt;=Paramètres!$B$10),S27/'Suivi Agents'!$G27+S27/1000+(1000-ROW())/10000000,-1)</f>
        <v>-1</v>
      </c>
      <c r="T72" s="44">
        <f>IF(AND('Suivi Agents'!$C27="Oui",'Suivi Agents'!$F27&gt;0,T$4=1,T$3&lt;=Paramètres!$B$10),T27/'Suivi Agents'!$G27+T27/1000+(1000-ROW())/10000000,-1)</f>
        <v>-1</v>
      </c>
      <c r="U72" s="44">
        <f>IF(AND('Suivi Agents'!$C27="Oui",'Suivi Agents'!$F27&gt;0,U$4=1,U$3&lt;=Paramètres!$B$10),U27/'Suivi Agents'!$G27+U27/1000+(1000-ROW())/10000000,-1)</f>
        <v>-1</v>
      </c>
      <c r="V72" s="44">
        <f>IF(AND('Suivi Agents'!$C27="Oui",'Suivi Agents'!$F27&gt;0,V$4=1,V$3&lt;=Paramètres!$B$10),V27/'Suivi Agents'!$G27+V27/1000+(1000-ROW())/10000000,-1)</f>
        <v>-1</v>
      </c>
      <c r="W72" s="44">
        <f>IF(AND('Suivi Agents'!$C27="Oui",'Suivi Agents'!$F27&gt;0,W$4=1,W$3&lt;=Paramètres!$B$10),W27/'Suivi Agents'!$G27+W27/1000+(1000-ROW())/10000000,-1)</f>
        <v>-1</v>
      </c>
      <c r="X72" s="44">
        <f>IF(AND('Suivi Agents'!$C27="Oui",'Suivi Agents'!$F27&gt;0,X$4=1,X$3&lt;=Paramètres!$B$10),X27/'Suivi Agents'!$G27+X27/1000+(1000-ROW())/10000000,-1)</f>
        <v>-1</v>
      </c>
      <c r="Y72" s="44">
        <f>IF(AND('Suivi Agents'!$C27="Oui",'Suivi Agents'!$F27&gt;0,Y$4=1,Y$3&lt;=Paramètres!$B$10),Y27/'Suivi Agents'!$G27+Y27/1000+(1000-ROW())/10000000,-1)</f>
        <v>-1</v>
      </c>
      <c r="Z72" s="44">
        <f>IF(AND('Suivi Agents'!$C27="Oui",'Suivi Agents'!$F27&gt;0,Z$4=1,Z$3&lt;=Paramètres!$B$10),Z27/'Suivi Agents'!$G27+Z27/1000+(1000-ROW())/10000000,-1)</f>
        <v>-1</v>
      </c>
      <c r="AA72" s="44">
        <f>IF(AND('Suivi Agents'!$C27="Oui",'Suivi Agents'!$F27&gt;0,AA$4=1,AA$3&lt;=Paramètres!$B$10),AA27/'Suivi Agents'!$G27+AA27/1000+(1000-ROW())/10000000,-1)</f>
        <v>-1</v>
      </c>
      <c r="AB72" s="44">
        <f>IF(AND('Suivi Agents'!$C27="Oui",'Suivi Agents'!$F27&gt;0,AB$4=1,AB$3&lt;=Paramètres!$B$10),AB27/'Suivi Agents'!$G27+AB27/1000+(1000-ROW())/10000000,-1)</f>
        <v>-1</v>
      </c>
      <c r="AC72" s="44">
        <f>IF(AND('Suivi Agents'!$C27="Oui",'Suivi Agents'!$F27&gt;0,AC$4=1,AC$3&lt;=Paramètres!$B$10),AC27/'Suivi Agents'!$G27+AC27/1000+(1000-ROW())/10000000,-1)</f>
        <v>-1</v>
      </c>
      <c r="AD72" s="44">
        <f>IF(AND('Suivi Agents'!$C27="Oui",'Suivi Agents'!$F27&gt;0,AD$4=1,AD$3&lt;=Paramètres!$B$10),AD27/'Suivi Agents'!$G27+AD27/1000+(1000-ROW())/10000000,-1)</f>
        <v>-1</v>
      </c>
      <c r="AE72" s="44">
        <f>IF(AND('Suivi Agents'!$C27="Oui",'Suivi Agents'!$F27&gt;0,AE$4=1,AE$3&lt;=Paramètres!$B$10),AE27/'Suivi Agents'!$G27+AE27/1000+(1000-ROW())/10000000,-1)</f>
        <v>-1</v>
      </c>
      <c r="AF72" s="44">
        <f>IF(AND('Suivi Agents'!$C27="Oui",'Suivi Agents'!$F27&gt;0,AF$4=1,AF$3&lt;=Paramètres!$B$10),AF27/'Suivi Agents'!$G27+AF27/1000+(1000-ROW())/10000000,-1)</f>
        <v>-1</v>
      </c>
      <c r="AG72" s="44">
        <f>IF(AND('Suivi Agents'!$C27="Oui",'Suivi Agents'!$F27&gt;0,AG$4=1,AG$3&lt;=Paramètres!$B$10),AG27/'Suivi Agents'!$G27+AG27/1000+(1000-ROW())/10000000,-1)</f>
        <v>-1</v>
      </c>
      <c r="AH72" s="44">
        <f>IF(AND('Suivi Agents'!$C27="Oui",'Suivi Agents'!$F27&gt;0,AH$4=1,AH$3&lt;=Paramètres!$B$10),AH27/'Suivi Agents'!$G27+AH27/1000+(1000-ROW())/10000000,-1)</f>
        <v>-1</v>
      </c>
    </row>
    <row r="73" spans="1:34" x14ac:dyDescent="0.45">
      <c r="A73" s="8" t="str">
        <f t="shared" si="1"/>
        <v>ZULU</v>
      </c>
      <c r="B73" s="8" t="str">
        <f t="shared" si="1"/>
        <v>pvt_rgz_adidier.ftth</v>
      </c>
      <c r="D73" s="44">
        <f>IF(AND('Suivi Agents'!$C28="Oui",'Suivi Agents'!$F28&gt;0,D$4=1,D$3&lt;=Paramètres!$B$10),D28/'Suivi Agents'!$G28+D28/1000+(1000-ROW())/10000000,-1)</f>
        <v>-1</v>
      </c>
      <c r="E73" s="44">
        <f>IF(AND('Suivi Agents'!$C28="Oui",'Suivi Agents'!$F28&gt;0,E$4=1,E$3&lt;=Paramètres!$B$10),E28/'Suivi Agents'!$G28+E28/1000+(1000-ROW())/10000000,-1)</f>
        <v>-1</v>
      </c>
      <c r="F73" s="44">
        <f>IF(AND('Suivi Agents'!$C28="Oui",'Suivi Agents'!$F28&gt;0,F$4=1,F$3&lt;=Paramètres!$B$10),F28/'Suivi Agents'!$G28+F28/1000+(1000-ROW())/10000000,-1)</f>
        <v>-1</v>
      </c>
      <c r="G73" s="44">
        <f>IF(AND('Suivi Agents'!$C28="Oui",'Suivi Agents'!$F28&gt;0,G$4=1,G$3&lt;=Paramètres!$B$10),G28/'Suivi Agents'!$G28+G28/1000+(1000-ROW())/10000000,-1)</f>
        <v>-1</v>
      </c>
      <c r="H73" s="44">
        <f>IF(AND('Suivi Agents'!$C28="Oui",'Suivi Agents'!$F28&gt;0,H$4=1,H$3&lt;=Paramètres!$B$10),H28/'Suivi Agents'!$G28+H28/1000+(1000-ROW())/10000000,-1)</f>
        <v>-1</v>
      </c>
      <c r="I73" s="44">
        <f>IF(AND('Suivi Agents'!$C28="Oui",'Suivi Agents'!$F28&gt;0,I$4=1,I$3&lt;=Paramètres!$B$10),I28/'Suivi Agents'!$G28+I28/1000+(1000-ROW())/10000000,-1)</f>
        <v>-1</v>
      </c>
      <c r="J73" s="44">
        <f>IF(AND('Suivi Agents'!$C28="Oui",'Suivi Agents'!$F28&gt;0,J$4=1,J$3&lt;=Paramètres!$B$10),J28/'Suivi Agents'!$G28+J28/1000+(1000-ROW())/10000000,-1)</f>
        <v>-1</v>
      </c>
      <c r="K73" s="44">
        <f>IF(AND('Suivi Agents'!$C28="Oui",'Suivi Agents'!$F28&gt;0,K$4=1,K$3&lt;=Paramètres!$B$10),K28/'Suivi Agents'!$G28+K28/1000+(1000-ROW())/10000000,-1)</f>
        <v>-1</v>
      </c>
      <c r="L73" s="44">
        <f>IF(AND('Suivi Agents'!$C28="Oui",'Suivi Agents'!$F28&gt;0,L$4=1,L$3&lt;=Paramètres!$B$10),L28/'Suivi Agents'!$G28+L28/1000+(1000-ROW())/10000000,-1)</f>
        <v>-1</v>
      </c>
      <c r="M73" s="44">
        <f>IF(AND('Suivi Agents'!$C28="Oui",'Suivi Agents'!$F28&gt;0,M$4=1,M$3&lt;=Paramètres!$B$10),M28/'Suivi Agents'!$G28+M28/1000+(1000-ROW())/10000000,-1)</f>
        <v>-1</v>
      </c>
      <c r="N73" s="44">
        <f>IF(AND('Suivi Agents'!$C28="Oui",'Suivi Agents'!$F28&gt;0,N$4=1,N$3&lt;=Paramètres!$B$10),N28/'Suivi Agents'!$G28+N28/1000+(1000-ROW())/10000000,-1)</f>
        <v>-1</v>
      </c>
      <c r="O73" s="44">
        <f>IF(AND('Suivi Agents'!$C28="Oui",'Suivi Agents'!$F28&gt;0,O$4=1,O$3&lt;=Paramètres!$B$10),O28/'Suivi Agents'!$G28+O28/1000+(1000-ROW())/10000000,-1)</f>
        <v>-1</v>
      </c>
      <c r="P73" s="44">
        <f>IF(AND('Suivi Agents'!$C28="Oui",'Suivi Agents'!$F28&gt;0,P$4=1,P$3&lt;=Paramètres!$B$10),P28/'Suivi Agents'!$G28+P28/1000+(1000-ROW())/10000000,-1)</f>
        <v>-1</v>
      </c>
      <c r="Q73" s="44">
        <f>IF(AND('Suivi Agents'!$C28="Oui",'Suivi Agents'!$F28&gt;0,Q$4=1,Q$3&lt;=Paramètres!$B$10),Q28/'Suivi Agents'!$G28+Q28/1000+(1000-ROW())/10000000,-1)</f>
        <v>-1</v>
      </c>
      <c r="R73" s="44">
        <f>IF(AND('Suivi Agents'!$C28="Oui",'Suivi Agents'!$F28&gt;0,R$4=1,R$3&lt;=Paramètres!$B$10),R28/'Suivi Agents'!$G28+R28/1000+(1000-ROW())/10000000,-1)</f>
        <v>-1</v>
      </c>
      <c r="S73" s="44">
        <f>IF(AND('Suivi Agents'!$C28="Oui",'Suivi Agents'!$F28&gt;0,S$4=1,S$3&lt;=Paramètres!$B$10),S28/'Suivi Agents'!$G28+S28/1000+(1000-ROW())/10000000,-1)</f>
        <v>-1</v>
      </c>
      <c r="T73" s="44">
        <f>IF(AND('Suivi Agents'!$C28="Oui",'Suivi Agents'!$F28&gt;0,T$4=1,T$3&lt;=Paramètres!$B$10),T28/'Suivi Agents'!$G28+T28/1000+(1000-ROW())/10000000,-1)</f>
        <v>-1</v>
      </c>
      <c r="U73" s="44">
        <f>IF(AND('Suivi Agents'!$C28="Oui",'Suivi Agents'!$F28&gt;0,U$4=1,U$3&lt;=Paramètres!$B$10),U28/'Suivi Agents'!$G28+U28/1000+(1000-ROW())/10000000,-1)</f>
        <v>-1</v>
      </c>
      <c r="V73" s="44">
        <f>IF(AND('Suivi Agents'!$C28="Oui",'Suivi Agents'!$F28&gt;0,V$4=1,V$3&lt;=Paramètres!$B$10),V28/'Suivi Agents'!$G28+V28/1000+(1000-ROW())/10000000,-1)</f>
        <v>-1</v>
      </c>
      <c r="W73" s="44">
        <f>IF(AND('Suivi Agents'!$C28="Oui",'Suivi Agents'!$F28&gt;0,W$4=1,W$3&lt;=Paramètres!$B$10),W28/'Suivi Agents'!$G28+W28/1000+(1000-ROW())/10000000,-1)</f>
        <v>-1</v>
      </c>
      <c r="X73" s="44">
        <f>IF(AND('Suivi Agents'!$C28="Oui",'Suivi Agents'!$F28&gt;0,X$4=1,X$3&lt;=Paramètres!$B$10),X28/'Suivi Agents'!$G28+X28/1000+(1000-ROW())/10000000,-1)</f>
        <v>-1</v>
      </c>
      <c r="Y73" s="44">
        <f>IF(AND('Suivi Agents'!$C28="Oui",'Suivi Agents'!$F28&gt;0,Y$4=1,Y$3&lt;=Paramètres!$B$10),Y28/'Suivi Agents'!$G28+Y28/1000+(1000-ROW())/10000000,-1)</f>
        <v>-1</v>
      </c>
      <c r="Z73" s="44">
        <f>IF(AND('Suivi Agents'!$C28="Oui",'Suivi Agents'!$F28&gt;0,Z$4=1,Z$3&lt;=Paramètres!$B$10),Z28/'Suivi Agents'!$G28+Z28/1000+(1000-ROW())/10000000,-1)</f>
        <v>-1</v>
      </c>
      <c r="AA73" s="44">
        <f>IF(AND('Suivi Agents'!$C28="Oui",'Suivi Agents'!$F28&gt;0,AA$4=1,AA$3&lt;=Paramètres!$B$10),AA28/'Suivi Agents'!$G28+AA28/1000+(1000-ROW())/10000000,-1)</f>
        <v>-1</v>
      </c>
      <c r="AB73" s="44">
        <f>IF(AND('Suivi Agents'!$C28="Oui",'Suivi Agents'!$F28&gt;0,AB$4=1,AB$3&lt;=Paramètres!$B$10),AB28/'Suivi Agents'!$G28+AB28/1000+(1000-ROW())/10000000,-1)</f>
        <v>-1</v>
      </c>
      <c r="AC73" s="44">
        <f>IF(AND('Suivi Agents'!$C28="Oui",'Suivi Agents'!$F28&gt;0,AC$4=1,AC$3&lt;=Paramètres!$B$10),AC28/'Suivi Agents'!$G28+AC28/1000+(1000-ROW())/10000000,-1)</f>
        <v>-1</v>
      </c>
      <c r="AD73" s="44">
        <f>IF(AND('Suivi Agents'!$C28="Oui",'Suivi Agents'!$F28&gt;0,AD$4=1,AD$3&lt;=Paramètres!$B$10),AD28/'Suivi Agents'!$G28+AD28/1000+(1000-ROW())/10000000,-1)</f>
        <v>-1</v>
      </c>
      <c r="AE73" s="44">
        <f>IF(AND('Suivi Agents'!$C28="Oui",'Suivi Agents'!$F28&gt;0,AE$4=1,AE$3&lt;=Paramètres!$B$10),AE28/'Suivi Agents'!$G28+AE28/1000+(1000-ROW())/10000000,-1)</f>
        <v>-1</v>
      </c>
      <c r="AF73" s="44">
        <f>IF(AND('Suivi Agents'!$C28="Oui",'Suivi Agents'!$F28&gt;0,AF$4=1,AF$3&lt;=Paramètres!$B$10),AF28/'Suivi Agents'!$G28+AF28/1000+(1000-ROW())/10000000,-1)</f>
        <v>-1</v>
      </c>
      <c r="AG73" s="44">
        <f>IF(AND('Suivi Agents'!$C28="Oui",'Suivi Agents'!$F28&gt;0,AG$4=1,AG$3&lt;=Paramètres!$B$10),AG28/'Suivi Agents'!$G28+AG28/1000+(1000-ROW())/10000000,-1)</f>
        <v>-1</v>
      </c>
      <c r="AH73" s="44">
        <f>IF(AND('Suivi Agents'!$C28="Oui",'Suivi Agents'!$F28&gt;0,AH$4=1,AH$3&lt;=Paramètres!$B$10),AH28/'Suivi Agents'!$G28+AH28/1000+(1000-ROW())/10000000,-1)</f>
        <v>-1</v>
      </c>
    </row>
    <row r="74" spans="1:34" x14ac:dyDescent="0.45">
      <c r="A74" s="8" t="str">
        <f t="shared" si="1"/>
        <v>CHARLIE</v>
      </c>
      <c r="B74" s="8" t="str">
        <f t="shared" si="1"/>
        <v>pms_rgz_wmarius.ftth</v>
      </c>
      <c r="D74" s="44">
        <f>IF(AND('Suivi Agents'!$C29="Oui",'Suivi Agents'!$F29&gt;0,D$4=1,D$3&lt;=Paramètres!$B$10),D29/'Suivi Agents'!$G29+D29/1000+(1000-ROW())/10000000,-1)</f>
        <v>9.2600000000000001E-5</v>
      </c>
      <c r="E74" s="44">
        <f>IF(AND('Suivi Agents'!$C29="Oui",'Suivi Agents'!$F29&gt;0,E$4=1,E$3&lt;=Paramètres!$B$10),E29/'Suivi Agents'!$G29+E29/1000+(1000-ROW())/10000000,-1)</f>
        <v>-1</v>
      </c>
      <c r="F74" s="44">
        <f>IF(AND('Suivi Agents'!$C29="Oui",'Suivi Agents'!$F29&gt;0,F$4=1,F$3&lt;=Paramètres!$B$10),F29/'Suivi Agents'!$G29+F29/1000+(1000-ROW())/10000000,-1)</f>
        <v>-1</v>
      </c>
      <c r="G74" s="44">
        <f>IF(AND('Suivi Agents'!$C29="Oui",'Suivi Agents'!$F29&gt;0,G$4=1,G$3&lt;=Paramètres!$B$10),G29/'Suivi Agents'!$G29+G29/1000+(1000-ROW())/10000000,-1)</f>
        <v>-1</v>
      </c>
      <c r="H74" s="44">
        <f>IF(AND('Suivi Agents'!$C29="Oui",'Suivi Agents'!$F29&gt;0,H$4=1,H$3&lt;=Paramètres!$B$10),H29/'Suivi Agents'!$G29+H29/1000+(1000-ROW())/10000000,-1)</f>
        <v>-1</v>
      </c>
      <c r="I74" s="44">
        <f>IF(AND('Suivi Agents'!$C29="Oui",'Suivi Agents'!$F29&gt;0,I$4=1,I$3&lt;=Paramètres!$B$10),I29/'Suivi Agents'!$G29+I29/1000+(1000-ROW())/10000000,-1)</f>
        <v>-1</v>
      </c>
      <c r="J74" s="44">
        <f>IF(AND('Suivi Agents'!$C29="Oui",'Suivi Agents'!$F29&gt;0,J$4=1,J$3&lt;=Paramètres!$B$10),J29/'Suivi Agents'!$G29+J29/1000+(1000-ROW())/10000000,-1)</f>
        <v>-1</v>
      </c>
      <c r="K74" s="44">
        <f>IF(AND('Suivi Agents'!$C29="Oui",'Suivi Agents'!$F29&gt;0,K$4=1,K$3&lt;=Paramètres!$B$10),K29/'Suivi Agents'!$G29+K29/1000+(1000-ROW())/10000000,-1)</f>
        <v>-1</v>
      </c>
      <c r="L74" s="44">
        <f>IF(AND('Suivi Agents'!$C29="Oui",'Suivi Agents'!$F29&gt;0,L$4=1,L$3&lt;=Paramètres!$B$10),L29/'Suivi Agents'!$G29+L29/1000+(1000-ROW())/10000000,-1)</f>
        <v>-1</v>
      </c>
      <c r="M74" s="44">
        <f>IF(AND('Suivi Agents'!$C29="Oui",'Suivi Agents'!$F29&gt;0,M$4=1,M$3&lt;=Paramètres!$B$10),M29/'Suivi Agents'!$G29+M29/1000+(1000-ROW())/10000000,-1)</f>
        <v>-1</v>
      </c>
      <c r="N74" s="44">
        <f>IF(AND('Suivi Agents'!$C29="Oui",'Suivi Agents'!$F29&gt;0,N$4=1,N$3&lt;=Paramètres!$B$10),N29/'Suivi Agents'!$G29+N29/1000+(1000-ROW())/10000000,-1)</f>
        <v>-1</v>
      </c>
      <c r="O74" s="44">
        <f>IF(AND('Suivi Agents'!$C29="Oui",'Suivi Agents'!$F29&gt;0,O$4=1,O$3&lt;=Paramètres!$B$10),O29/'Suivi Agents'!$G29+O29/1000+(1000-ROW())/10000000,-1)</f>
        <v>-1</v>
      </c>
      <c r="P74" s="44">
        <f>IF(AND('Suivi Agents'!$C29="Oui",'Suivi Agents'!$F29&gt;0,P$4=1,P$3&lt;=Paramètres!$B$10),P29/'Suivi Agents'!$G29+P29/1000+(1000-ROW())/10000000,-1)</f>
        <v>-1</v>
      </c>
      <c r="Q74" s="44">
        <f>IF(AND('Suivi Agents'!$C29="Oui",'Suivi Agents'!$F29&gt;0,Q$4=1,Q$3&lt;=Paramètres!$B$10),Q29/'Suivi Agents'!$G29+Q29/1000+(1000-ROW())/10000000,-1)</f>
        <v>-1</v>
      </c>
      <c r="R74" s="44">
        <f>IF(AND('Suivi Agents'!$C29="Oui",'Suivi Agents'!$F29&gt;0,R$4=1,R$3&lt;=Paramètres!$B$10),R29/'Suivi Agents'!$G29+R29/1000+(1000-ROW())/10000000,-1)</f>
        <v>-1</v>
      </c>
      <c r="S74" s="44">
        <f>IF(AND('Suivi Agents'!$C29="Oui",'Suivi Agents'!$F29&gt;0,S$4=1,S$3&lt;=Paramètres!$B$10),S29/'Suivi Agents'!$G29+S29/1000+(1000-ROW())/10000000,-1)</f>
        <v>-1</v>
      </c>
      <c r="T74" s="44">
        <f>IF(AND('Suivi Agents'!$C29="Oui",'Suivi Agents'!$F29&gt;0,T$4=1,T$3&lt;=Paramètres!$B$10),T29/'Suivi Agents'!$G29+T29/1000+(1000-ROW())/10000000,-1)</f>
        <v>-1</v>
      </c>
      <c r="U74" s="44">
        <f>IF(AND('Suivi Agents'!$C29="Oui",'Suivi Agents'!$F29&gt;0,U$4=1,U$3&lt;=Paramètres!$B$10),U29/'Suivi Agents'!$G29+U29/1000+(1000-ROW())/10000000,-1)</f>
        <v>-1</v>
      </c>
      <c r="V74" s="44">
        <f>IF(AND('Suivi Agents'!$C29="Oui",'Suivi Agents'!$F29&gt;0,V$4=1,V$3&lt;=Paramètres!$B$10),V29/'Suivi Agents'!$G29+V29/1000+(1000-ROW())/10000000,-1)</f>
        <v>-1</v>
      </c>
      <c r="W74" s="44">
        <f>IF(AND('Suivi Agents'!$C29="Oui",'Suivi Agents'!$F29&gt;0,W$4=1,W$3&lt;=Paramètres!$B$10),W29/'Suivi Agents'!$G29+W29/1000+(1000-ROW())/10000000,-1)</f>
        <v>-1</v>
      </c>
      <c r="X74" s="44">
        <f>IF(AND('Suivi Agents'!$C29="Oui",'Suivi Agents'!$F29&gt;0,X$4=1,X$3&lt;=Paramètres!$B$10),X29/'Suivi Agents'!$G29+X29/1000+(1000-ROW())/10000000,-1)</f>
        <v>-1</v>
      </c>
      <c r="Y74" s="44">
        <f>IF(AND('Suivi Agents'!$C29="Oui",'Suivi Agents'!$F29&gt;0,Y$4=1,Y$3&lt;=Paramètres!$B$10),Y29/'Suivi Agents'!$G29+Y29/1000+(1000-ROW())/10000000,-1)</f>
        <v>-1</v>
      </c>
      <c r="Z74" s="44">
        <f>IF(AND('Suivi Agents'!$C29="Oui",'Suivi Agents'!$F29&gt;0,Z$4=1,Z$3&lt;=Paramètres!$B$10),Z29/'Suivi Agents'!$G29+Z29/1000+(1000-ROW())/10000000,-1)</f>
        <v>-1</v>
      </c>
      <c r="AA74" s="44">
        <f>IF(AND('Suivi Agents'!$C29="Oui",'Suivi Agents'!$F29&gt;0,AA$4=1,AA$3&lt;=Paramètres!$B$10),AA29/'Suivi Agents'!$G29+AA29/1000+(1000-ROW())/10000000,-1)</f>
        <v>-1</v>
      </c>
      <c r="AB74" s="44">
        <f>IF(AND('Suivi Agents'!$C29="Oui",'Suivi Agents'!$F29&gt;0,AB$4=1,AB$3&lt;=Paramètres!$B$10),AB29/'Suivi Agents'!$G29+AB29/1000+(1000-ROW())/10000000,-1)</f>
        <v>-1</v>
      </c>
      <c r="AC74" s="44">
        <f>IF(AND('Suivi Agents'!$C29="Oui",'Suivi Agents'!$F29&gt;0,AC$4=1,AC$3&lt;=Paramètres!$B$10),AC29/'Suivi Agents'!$G29+AC29/1000+(1000-ROW())/10000000,-1)</f>
        <v>-1</v>
      </c>
      <c r="AD74" s="44">
        <f>IF(AND('Suivi Agents'!$C29="Oui",'Suivi Agents'!$F29&gt;0,AD$4=1,AD$3&lt;=Paramètres!$B$10),AD29/'Suivi Agents'!$G29+AD29/1000+(1000-ROW())/10000000,-1)</f>
        <v>-1</v>
      </c>
      <c r="AE74" s="44">
        <f>IF(AND('Suivi Agents'!$C29="Oui",'Suivi Agents'!$F29&gt;0,AE$4=1,AE$3&lt;=Paramètres!$B$10),AE29/'Suivi Agents'!$G29+AE29/1000+(1000-ROW())/10000000,-1)</f>
        <v>-1</v>
      </c>
      <c r="AF74" s="44">
        <f>IF(AND('Suivi Agents'!$C29="Oui",'Suivi Agents'!$F29&gt;0,AF$4=1,AF$3&lt;=Paramètres!$B$10),AF29/'Suivi Agents'!$G29+AF29/1000+(1000-ROW())/10000000,-1)</f>
        <v>-1</v>
      </c>
      <c r="AG74" s="44">
        <f>IF(AND('Suivi Agents'!$C29="Oui",'Suivi Agents'!$F29&gt;0,AG$4=1,AG$3&lt;=Paramètres!$B$10),AG29/'Suivi Agents'!$G29+AG29/1000+(1000-ROW())/10000000,-1)</f>
        <v>-1</v>
      </c>
      <c r="AH74" s="44">
        <f>IF(AND('Suivi Agents'!$C29="Oui",'Suivi Agents'!$F29&gt;0,AH$4=1,AH$3&lt;=Paramètres!$B$10),AH29/'Suivi Agents'!$G29+AH29/1000+(1000-ROW())/10000000,-1)</f>
        <v>-1</v>
      </c>
    </row>
    <row r="75" spans="1:34" x14ac:dyDescent="0.45">
      <c r="A75" s="8" t="str">
        <f t="shared" si="1"/>
        <v>CHARLIE</v>
      </c>
      <c r="B75" s="8" t="str">
        <f t="shared" si="1"/>
        <v>pvt_rgz_tsylvia.ftth</v>
      </c>
      <c r="D75" s="44">
        <f>IF(AND('Suivi Agents'!$C30="Oui",'Suivi Agents'!$F30&gt;0,D$4=1,D$3&lt;=Paramètres!$B$10),D30/'Suivi Agents'!$G30+D30/1000+(1000-ROW())/10000000,-1)</f>
        <v>9.2499999999999999E-5</v>
      </c>
      <c r="E75" s="44">
        <f>IF(AND('Suivi Agents'!$C30="Oui",'Suivi Agents'!$F30&gt;0,E$4=1,E$3&lt;=Paramètres!$B$10),E30/'Suivi Agents'!$G30+E30/1000+(1000-ROW())/10000000,-1)</f>
        <v>-1</v>
      </c>
      <c r="F75" s="44">
        <f>IF(AND('Suivi Agents'!$C30="Oui",'Suivi Agents'!$F30&gt;0,F$4=1,F$3&lt;=Paramètres!$B$10),F30/'Suivi Agents'!$G30+F30/1000+(1000-ROW())/10000000,-1)</f>
        <v>-1</v>
      </c>
      <c r="G75" s="44">
        <f>IF(AND('Suivi Agents'!$C30="Oui",'Suivi Agents'!$F30&gt;0,G$4=1,G$3&lt;=Paramètres!$B$10),G30/'Suivi Agents'!$G30+G30/1000+(1000-ROW())/10000000,-1)</f>
        <v>-1</v>
      </c>
      <c r="H75" s="44">
        <f>IF(AND('Suivi Agents'!$C30="Oui",'Suivi Agents'!$F30&gt;0,H$4=1,H$3&lt;=Paramètres!$B$10),H30/'Suivi Agents'!$G30+H30/1000+(1000-ROW())/10000000,-1)</f>
        <v>-1</v>
      </c>
      <c r="I75" s="44">
        <f>IF(AND('Suivi Agents'!$C30="Oui",'Suivi Agents'!$F30&gt;0,I$4=1,I$3&lt;=Paramètres!$B$10),I30/'Suivi Agents'!$G30+I30/1000+(1000-ROW())/10000000,-1)</f>
        <v>-1</v>
      </c>
      <c r="J75" s="44">
        <f>IF(AND('Suivi Agents'!$C30="Oui",'Suivi Agents'!$F30&gt;0,J$4=1,J$3&lt;=Paramètres!$B$10),J30/'Suivi Agents'!$G30+J30/1000+(1000-ROW())/10000000,-1)</f>
        <v>-1</v>
      </c>
      <c r="K75" s="44">
        <f>IF(AND('Suivi Agents'!$C30="Oui",'Suivi Agents'!$F30&gt;0,K$4=1,K$3&lt;=Paramètres!$B$10),K30/'Suivi Agents'!$G30+K30/1000+(1000-ROW())/10000000,-1)</f>
        <v>-1</v>
      </c>
      <c r="L75" s="44">
        <f>IF(AND('Suivi Agents'!$C30="Oui",'Suivi Agents'!$F30&gt;0,L$4=1,L$3&lt;=Paramètres!$B$10),L30/'Suivi Agents'!$G30+L30/1000+(1000-ROW())/10000000,-1)</f>
        <v>-1</v>
      </c>
      <c r="M75" s="44">
        <f>IF(AND('Suivi Agents'!$C30="Oui",'Suivi Agents'!$F30&gt;0,M$4=1,M$3&lt;=Paramètres!$B$10),M30/'Suivi Agents'!$G30+M30/1000+(1000-ROW())/10000000,-1)</f>
        <v>-1</v>
      </c>
      <c r="N75" s="44">
        <f>IF(AND('Suivi Agents'!$C30="Oui",'Suivi Agents'!$F30&gt;0,N$4=1,N$3&lt;=Paramètres!$B$10),N30/'Suivi Agents'!$G30+N30/1000+(1000-ROW())/10000000,-1)</f>
        <v>-1</v>
      </c>
      <c r="O75" s="44">
        <f>IF(AND('Suivi Agents'!$C30="Oui",'Suivi Agents'!$F30&gt;0,O$4=1,O$3&lt;=Paramètres!$B$10),O30/'Suivi Agents'!$G30+O30/1000+(1000-ROW())/10000000,-1)</f>
        <v>-1</v>
      </c>
      <c r="P75" s="44">
        <f>IF(AND('Suivi Agents'!$C30="Oui",'Suivi Agents'!$F30&gt;0,P$4=1,P$3&lt;=Paramètres!$B$10),P30/'Suivi Agents'!$G30+P30/1000+(1000-ROW())/10000000,-1)</f>
        <v>-1</v>
      </c>
      <c r="Q75" s="44">
        <f>IF(AND('Suivi Agents'!$C30="Oui",'Suivi Agents'!$F30&gt;0,Q$4=1,Q$3&lt;=Paramètres!$B$10),Q30/'Suivi Agents'!$G30+Q30/1000+(1000-ROW())/10000000,-1)</f>
        <v>-1</v>
      </c>
      <c r="R75" s="44">
        <f>IF(AND('Suivi Agents'!$C30="Oui",'Suivi Agents'!$F30&gt;0,R$4=1,R$3&lt;=Paramètres!$B$10),R30/'Suivi Agents'!$G30+R30/1000+(1000-ROW())/10000000,-1)</f>
        <v>-1</v>
      </c>
      <c r="S75" s="44">
        <f>IF(AND('Suivi Agents'!$C30="Oui",'Suivi Agents'!$F30&gt;0,S$4=1,S$3&lt;=Paramètres!$B$10),S30/'Suivi Agents'!$G30+S30/1000+(1000-ROW())/10000000,-1)</f>
        <v>-1</v>
      </c>
      <c r="T75" s="44">
        <f>IF(AND('Suivi Agents'!$C30="Oui",'Suivi Agents'!$F30&gt;0,T$4=1,T$3&lt;=Paramètres!$B$10),T30/'Suivi Agents'!$G30+T30/1000+(1000-ROW())/10000000,-1)</f>
        <v>-1</v>
      </c>
      <c r="U75" s="44">
        <f>IF(AND('Suivi Agents'!$C30="Oui",'Suivi Agents'!$F30&gt;0,U$4=1,U$3&lt;=Paramètres!$B$10),U30/'Suivi Agents'!$G30+U30/1000+(1000-ROW())/10000000,-1)</f>
        <v>-1</v>
      </c>
      <c r="V75" s="44">
        <f>IF(AND('Suivi Agents'!$C30="Oui",'Suivi Agents'!$F30&gt;0,V$4=1,V$3&lt;=Paramètres!$B$10),V30/'Suivi Agents'!$G30+V30/1000+(1000-ROW())/10000000,-1)</f>
        <v>-1</v>
      </c>
      <c r="W75" s="44">
        <f>IF(AND('Suivi Agents'!$C30="Oui",'Suivi Agents'!$F30&gt;0,W$4=1,W$3&lt;=Paramètres!$B$10),W30/'Suivi Agents'!$G30+W30/1000+(1000-ROW())/10000000,-1)</f>
        <v>-1</v>
      </c>
      <c r="X75" s="44">
        <f>IF(AND('Suivi Agents'!$C30="Oui",'Suivi Agents'!$F30&gt;0,X$4=1,X$3&lt;=Paramètres!$B$10),X30/'Suivi Agents'!$G30+X30/1000+(1000-ROW())/10000000,-1)</f>
        <v>-1</v>
      </c>
      <c r="Y75" s="44">
        <f>IF(AND('Suivi Agents'!$C30="Oui",'Suivi Agents'!$F30&gt;0,Y$4=1,Y$3&lt;=Paramètres!$B$10),Y30/'Suivi Agents'!$G30+Y30/1000+(1000-ROW())/10000000,-1)</f>
        <v>-1</v>
      </c>
      <c r="Z75" s="44">
        <f>IF(AND('Suivi Agents'!$C30="Oui",'Suivi Agents'!$F30&gt;0,Z$4=1,Z$3&lt;=Paramètres!$B$10),Z30/'Suivi Agents'!$G30+Z30/1000+(1000-ROW())/10000000,-1)</f>
        <v>-1</v>
      </c>
      <c r="AA75" s="44">
        <f>IF(AND('Suivi Agents'!$C30="Oui",'Suivi Agents'!$F30&gt;0,AA$4=1,AA$3&lt;=Paramètres!$B$10),AA30/'Suivi Agents'!$G30+AA30/1000+(1000-ROW())/10000000,-1)</f>
        <v>-1</v>
      </c>
      <c r="AB75" s="44">
        <f>IF(AND('Suivi Agents'!$C30="Oui",'Suivi Agents'!$F30&gt;0,AB$4=1,AB$3&lt;=Paramètres!$B$10),AB30/'Suivi Agents'!$G30+AB30/1000+(1000-ROW())/10000000,-1)</f>
        <v>-1</v>
      </c>
      <c r="AC75" s="44">
        <f>IF(AND('Suivi Agents'!$C30="Oui",'Suivi Agents'!$F30&gt;0,AC$4=1,AC$3&lt;=Paramètres!$B$10),AC30/'Suivi Agents'!$G30+AC30/1000+(1000-ROW())/10000000,-1)</f>
        <v>-1</v>
      </c>
      <c r="AD75" s="44">
        <f>IF(AND('Suivi Agents'!$C30="Oui",'Suivi Agents'!$F30&gt;0,AD$4=1,AD$3&lt;=Paramètres!$B$10),AD30/'Suivi Agents'!$G30+AD30/1000+(1000-ROW())/10000000,-1)</f>
        <v>-1</v>
      </c>
      <c r="AE75" s="44">
        <f>IF(AND('Suivi Agents'!$C30="Oui",'Suivi Agents'!$F30&gt;0,AE$4=1,AE$3&lt;=Paramètres!$B$10),AE30/'Suivi Agents'!$G30+AE30/1000+(1000-ROW())/10000000,-1)</f>
        <v>-1</v>
      </c>
      <c r="AF75" s="44">
        <f>IF(AND('Suivi Agents'!$C30="Oui",'Suivi Agents'!$F30&gt;0,AF$4=1,AF$3&lt;=Paramètres!$B$10),AF30/'Suivi Agents'!$G30+AF30/1000+(1000-ROW())/10000000,-1)</f>
        <v>-1</v>
      </c>
      <c r="AG75" s="44">
        <f>IF(AND('Suivi Agents'!$C30="Oui",'Suivi Agents'!$F30&gt;0,AG$4=1,AG$3&lt;=Paramètres!$B$10),AG30/'Suivi Agents'!$G30+AG30/1000+(1000-ROW())/10000000,-1)</f>
        <v>-1</v>
      </c>
      <c r="AH75" s="44">
        <f>IF(AND('Suivi Agents'!$C30="Oui",'Suivi Agents'!$F30&gt;0,AH$4=1,AH$3&lt;=Paramètres!$B$10),AH30/'Suivi Agents'!$G30+AH30/1000+(1000-ROW())/10000000,-1)</f>
        <v>-1</v>
      </c>
    </row>
    <row r="76" spans="1:34" x14ac:dyDescent="0.45">
      <c r="A76" s="8" t="str">
        <f t="shared" si="1"/>
        <v>MIKE</v>
      </c>
      <c r="B76" s="8" t="str">
        <f t="shared" si="1"/>
        <v>pvt_rgz_oalain.ftth</v>
      </c>
      <c r="D76" s="44">
        <f>IF(AND('Suivi Agents'!$C31="Oui",'Suivi Agents'!$F31&gt;0,D$4=1,D$3&lt;=Paramètres!$B$10),D31/'Suivi Agents'!$G31+D31/1000+(1000-ROW())/10000000,-1)</f>
        <v>9.2399999999999996E-5</v>
      </c>
      <c r="E76" s="44">
        <f>IF(AND('Suivi Agents'!$C31="Oui",'Suivi Agents'!$F31&gt;0,E$4=1,E$3&lt;=Paramètres!$B$10),E31/'Suivi Agents'!$G31+E31/1000+(1000-ROW())/10000000,-1)</f>
        <v>-1</v>
      </c>
      <c r="F76" s="44">
        <f>IF(AND('Suivi Agents'!$C31="Oui",'Suivi Agents'!$F31&gt;0,F$4=1,F$3&lt;=Paramètres!$B$10),F31/'Suivi Agents'!$G31+F31/1000+(1000-ROW())/10000000,-1)</f>
        <v>-1</v>
      </c>
      <c r="G76" s="44">
        <f>IF(AND('Suivi Agents'!$C31="Oui",'Suivi Agents'!$F31&gt;0,G$4=1,G$3&lt;=Paramètres!$B$10),G31/'Suivi Agents'!$G31+G31/1000+(1000-ROW())/10000000,-1)</f>
        <v>-1</v>
      </c>
      <c r="H76" s="44">
        <f>IF(AND('Suivi Agents'!$C31="Oui",'Suivi Agents'!$F31&gt;0,H$4=1,H$3&lt;=Paramètres!$B$10),H31/'Suivi Agents'!$G31+H31/1000+(1000-ROW())/10000000,-1)</f>
        <v>-1</v>
      </c>
      <c r="I76" s="44">
        <f>IF(AND('Suivi Agents'!$C31="Oui",'Suivi Agents'!$F31&gt;0,I$4=1,I$3&lt;=Paramètres!$B$10),I31/'Suivi Agents'!$G31+I31/1000+(1000-ROW())/10000000,-1)</f>
        <v>-1</v>
      </c>
      <c r="J76" s="44">
        <f>IF(AND('Suivi Agents'!$C31="Oui",'Suivi Agents'!$F31&gt;0,J$4=1,J$3&lt;=Paramètres!$B$10),J31/'Suivi Agents'!$G31+J31/1000+(1000-ROW())/10000000,-1)</f>
        <v>-1</v>
      </c>
      <c r="K76" s="44">
        <f>IF(AND('Suivi Agents'!$C31="Oui",'Suivi Agents'!$F31&gt;0,K$4=1,K$3&lt;=Paramètres!$B$10),K31/'Suivi Agents'!$G31+K31/1000+(1000-ROW())/10000000,-1)</f>
        <v>-1</v>
      </c>
      <c r="L76" s="44">
        <f>IF(AND('Suivi Agents'!$C31="Oui",'Suivi Agents'!$F31&gt;0,L$4=1,L$3&lt;=Paramètres!$B$10),L31/'Suivi Agents'!$G31+L31/1000+(1000-ROW())/10000000,-1)</f>
        <v>-1</v>
      </c>
      <c r="M76" s="44">
        <f>IF(AND('Suivi Agents'!$C31="Oui",'Suivi Agents'!$F31&gt;0,M$4=1,M$3&lt;=Paramètres!$B$10),M31/'Suivi Agents'!$G31+M31/1000+(1000-ROW())/10000000,-1)</f>
        <v>-1</v>
      </c>
      <c r="N76" s="44">
        <f>IF(AND('Suivi Agents'!$C31="Oui",'Suivi Agents'!$F31&gt;0,N$4=1,N$3&lt;=Paramètres!$B$10),N31/'Suivi Agents'!$G31+N31/1000+(1000-ROW())/10000000,-1)</f>
        <v>-1</v>
      </c>
      <c r="O76" s="44">
        <f>IF(AND('Suivi Agents'!$C31="Oui",'Suivi Agents'!$F31&gt;0,O$4=1,O$3&lt;=Paramètres!$B$10),O31/'Suivi Agents'!$G31+O31/1000+(1000-ROW())/10000000,-1)</f>
        <v>-1</v>
      </c>
      <c r="P76" s="44">
        <f>IF(AND('Suivi Agents'!$C31="Oui",'Suivi Agents'!$F31&gt;0,P$4=1,P$3&lt;=Paramètres!$B$10),P31/'Suivi Agents'!$G31+P31/1000+(1000-ROW())/10000000,-1)</f>
        <v>-1</v>
      </c>
      <c r="Q76" s="44">
        <f>IF(AND('Suivi Agents'!$C31="Oui",'Suivi Agents'!$F31&gt;0,Q$4=1,Q$3&lt;=Paramètres!$B$10),Q31/'Suivi Agents'!$G31+Q31/1000+(1000-ROW())/10000000,-1)</f>
        <v>-1</v>
      </c>
      <c r="R76" s="44">
        <f>IF(AND('Suivi Agents'!$C31="Oui",'Suivi Agents'!$F31&gt;0,R$4=1,R$3&lt;=Paramètres!$B$10),R31/'Suivi Agents'!$G31+R31/1000+(1000-ROW())/10000000,-1)</f>
        <v>-1</v>
      </c>
      <c r="S76" s="44">
        <f>IF(AND('Suivi Agents'!$C31="Oui",'Suivi Agents'!$F31&gt;0,S$4=1,S$3&lt;=Paramètres!$B$10),S31/'Suivi Agents'!$G31+S31/1000+(1000-ROW())/10000000,-1)</f>
        <v>-1</v>
      </c>
      <c r="T76" s="44">
        <f>IF(AND('Suivi Agents'!$C31="Oui",'Suivi Agents'!$F31&gt;0,T$4=1,T$3&lt;=Paramètres!$B$10),T31/'Suivi Agents'!$G31+T31/1000+(1000-ROW())/10000000,-1)</f>
        <v>-1</v>
      </c>
      <c r="U76" s="44">
        <f>IF(AND('Suivi Agents'!$C31="Oui",'Suivi Agents'!$F31&gt;0,U$4=1,U$3&lt;=Paramètres!$B$10),U31/'Suivi Agents'!$G31+U31/1000+(1000-ROW())/10000000,-1)</f>
        <v>-1</v>
      </c>
      <c r="V76" s="44">
        <f>IF(AND('Suivi Agents'!$C31="Oui",'Suivi Agents'!$F31&gt;0,V$4=1,V$3&lt;=Paramètres!$B$10),V31/'Suivi Agents'!$G31+V31/1000+(1000-ROW())/10000000,-1)</f>
        <v>-1</v>
      </c>
      <c r="W76" s="44">
        <f>IF(AND('Suivi Agents'!$C31="Oui",'Suivi Agents'!$F31&gt;0,W$4=1,W$3&lt;=Paramètres!$B$10),W31/'Suivi Agents'!$G31+W31/1000+(1000-ROW())/10000000,-1)</f>
        <v>-1</v>
      </c>
      <c r="X76" s="44">
        <f>IF(AND('Suivi Agents'!$C31="Oui",'Suivi Agents'!$F31&gt;0,X$4=1,X$3&lt;=Paramètres!$B$10),X31/'Suivi Agents'!$G31+X31/1000+(1000-ROW())/10000000,-1)</f>
        <v>-1</v>
      </c>
      <c r="Y76" s="44">
        <f>IF(AND('Suivi Agents'!$C31="Oui",'Suivi Agents'!$F31&gt;0,Y$4=1,Y$3&lt;=Paramètres!$B$10),Y31/'Suivi Agents'!$G31+Y31/1000+(1000-ROW())/10000000,-1)</f>
        <v>-1</v>
      </c>
      <c r="Z76" s="44">
        <f>IF(AND('Suivi Agents'!$C31="Oui",'Suivi Agents'!$F31&gt;0,Z$4=1,Z$3&lt;=Paramètres!$B$10),Z31/'Suivi Agents'!$G31+Z31/1000+(1000-ROW())/10000000,-1)</f>
        <v>-1</v>
      </c>
      <c r="AA76" s="44">
        <f>IF(AND('Suivi Agents'!$C31="Oui",'Suivi Agents'!$F31&gt;0,AA$4=1,AA$3&lt;=Paramètres!$B$10),AA31/'Suivi Agents'!$G31+AA31/1000+(1000-ROW())/10000000,-1)</f>
        <v>-1</v>
      </c>
      <c r="AB76" s="44">
        <f>IF(AND('Suivi Agents'!$C31="Oui",'Suivi Agents'!$F31&gt;0,AB$4=1,AB$3&lt;=Paramètres!$B$10),AB31/'Suivi Agents'!$G31+AB31/1000+(1000-ROW())/10000000,-1)</f>
        <v>-1</v>
      </c>
      <c r="AC76" s="44">
        <f>IF(AND('Suivi Agents'!$C31="Oui",'Suivi Agents'!$F31&gt;0,AC$4=1,AC$3&lt;=Paramètres!$B$10),AC31/'Suivi Agents'!$G31+AC31/1000+(1000-ROW())/10000000,-1)</f>
        <v>-1</v>
      </c>
      <c r="AD76" s="44">
        <f>IF(AND('Suivi Agents'!$C31="Oui",'Suivi Agents'!$F31&gt;0,AD$4=1,AD$3&lt;=Paramètres!$B$10),AD31/'Suivi Agents'!$G31+AD31/1000+(1000-ROW())/10000000,-1)</f>
        <v>-1</v>
      </c>
      <c r="AE76" s="44">
        <f>IF(AND('Suivi Agents'!$C31="Oui",'Suivi Agents'!$F31&gt;0,AE$4=1,AE$3&lt;=Paramètres!$B$10),AE31/'Suivi Agents'!$G31+AE31/1000+(1000-ROW())/10000000,-1)</f>
        <v>-1</v>
      </c>
      <c r="AF76" s="44">
        <f>IF(AND('Suivi Agents'!$C31="Oui",'Suivi Agents'!$F31&gt;0,AF$4=1,AF$3&lt;=Paramètres!$B$10),AF31/'Suivi Agents'!$G31+AF31/1000+(1000-ROW())/10000000,-1)</f>
        <v>-1</v>
      </c>
      <c r="AG76" s="44">
        <f>IF(AND('Suivi Agents'!$C31="Oui",'Suivi Agents'!$F31&gt;0,AG$4=1,AG$3&lt;=Paramètres!$B$10),AG31/'Suivi Agents'!$G31+AG31/1000+(1000-ROW())/10000000,-1)</f>
        <v>-1</v>
      </c>
      <c r="AH76" s="44">
        <f>IF(AND('Suivi Agents'!$C31="Oui",'Suivi Agents'!$F31&gt;0,AH$4=1,AH$3&lt;=Paramètres!$B$10),AH31/'Suivi Agents'!$G31+AH31/1000+(1000-ROW())/10000000,-1)</f>
        <v>-1</v>
      </c>
    </row>
    <row r="77" spans="1:34" x14ac:dyDescent="0.45">
      <c r="A77" s="8" t="str">
        <f t="shared" si="1"/>
        <v>MIKE</v>
      </c>
      <c r="B77" s="8" t="str">
        <f t="shared" si="1"/>
        <v>pvt_rgz_sulrich.ftth</v>
      </c>
      <c r="D77" s="44">
        <f>IF(AND('Suivi Agents'!$C32="Oui",'Suivi Agents'!$F32&gt;0,D$4=1,D$3&lt;=Paramètres!$B$10),D32/'Suivi Agents'!$G32+D32/1000+(1000-ROW())/10000000,-1)</f>
        <v>9.2299999999999994E-5</v>
      </c>
      <c r="E77" s="44">
        <f>IF(AND('Suivi Agents'!$C32="Oui",'Suivi Agents'!$F32&gt;0,E$4=1,E$3&lt;=Paramètres!$B$10),E32/'Suivi Agents'!$G32+E32/1000+(1000-ROW())/10000000,-1)</f>
        <v>-1</v>
      </c>
      <c r="F77" s="44">
        <f>IF(AND('Suivi Agents'!$C32="Oui",'Suivi Agents'!$F32&gt;0,F$4=1,F$3&lt;=Paramètres!$B$10),F32/'Suivi Agents'!$G32+F32/1000+(1000-ROW())/10000000,-1)</f>
        <v>-1</v>
      </c>
      <c r="G77" s="44">
        <f>IF(AND('Suivi Agents'!$C32="Oui",'Suivi Agents'!$F32&gt;0,G$4=1,G$3&lt;=Paramètres!$B$10),G32/'Suivi Agents'!$G32+G32/1000+(1000-ROW())/10000000,-1)</f>
        <v>-1</v>
      </c>
      <c r="H77" s="44">
        <f>IF(AND('Suivi Agents'!$C32="Oui",'Suivi Agents'!$F32&gt;0,H$4=1,H$3&lt;=Paramètres!$B$10),H32/'Suivi Agents'!$G32+H32/1000+(1000-ROW())/10000000,-1)</f>
        <v>-1</v>
      </c>
      <c r="I77" s="44">
        <f>IF(AND('Suivi Agents'!$C32="Oui",'Suivi Agents'!$F32&gt;0,I$4=1,I$3&lt;=Paramètres!$B$10),I32/'Suivi Agents'!$G32+I32/1000+(1000-ROW())/10000000,-1)</f>
        <v>-1</v>
      </c>
      <c r="J77" s="44">
        <f>IF(AND('Suivi Agents'!$C32="Oui",'Suivi Agents'!$F32&gt;0,J$4=1,J$3&lt;=Paramètres!$B$10),J32/'Suivi Agents'!$G32+J32/1000+(1000-ROW())/10000000,-1)</f>
        <v>-1</v>
      </c>
      <c r="K77" s="44">
        <f>IF(AND('Suivi Agents'!$C32="Oui",'Suivi Agents'!$F32&gt;0,K$4=1,K$3&lt;=Paramètres!$B$10),K32/'Suivi Agents'!$G32+K32/1000+(1000-ROW())/10000000,-1)</f>
        <v>-1</v>
      </c>
      <c r="L77" s="44">
        <f>IF(AND('Suivi Agents'!$C32="Oui",'Suivi Agents'!$F32&gt;0,L$4=1,L$3&lt;=Paramètres!$B$10),L32/'Suivi Agents'!$G32+L32/1000+(1000-ROW())/10000000,-1)</f>
        <v>-1</v>
      </c>
      <c r="M77" s="44">
        <f>IF(AND('Suivi Agents'!$C32="Oui",'Suivi Agents'!$F32&gt;0,M$4=1,M$3&lt;=Paramètres!$B$10),M32/'Suivi Agents'!$G32+M32/1000+(1000-ROW())/10000000,-1)</f>
        <v>-1</v>
      </c>
      <c r="N77" s="44">
        <f>IF(AND('Suivi Agents'!$C32="Oui",'Suivi Agents'!$F32&gt;0,N$4=1,N$3&lt;=Paramètres!$B$10),N32/'Suivi Agents'!$G32+N32/1000+(1000-ROW())/10000000,-1)</f>
        <v>-1</v>
      </c>
      <c r="O77" s="44">
        <f>IF(AND('Suivi Agents'!$C32="Oui",'Suivi Agents'!$F32&gt;0,O$4=1,O$3&lt;=Paramètres!$B$10),O32/'Suivi Agents'!$G32+O32/1000+(1000-ROW())/10000000,-1)</f>
        <v>-1</v>
      </c>
      <c r="P77" s="44">
        <f>IF(AND('Suivi Agents'!$C32="Oui",'Suivi Agents'!$F32&gt;0,P$4=1,P$3&lt;=Paramètres!$B$10),P32/'Suivi Agents'!$G32+P32/1000+(1000-ROW())/10000000,-1)</f>
        <v>-1</v>
      </c>
      <c r="Q77" s="44">
        <f>IF(AND('Suivi Agents'!$C32="Oui",'Suivi Agents'!$F32&gt;0,Q$4=1,Q$3&lt;=Paramètres!$B$10),Q32/'Suivi Agents'!$G32+Q32/1000+(1000-ROW())/10000000,-1)</f>
        <v>-1</v>
      </c>
      <c r="R77" s="44">
        <f>IF(AND('Suivi Agents'!$C32="Oui",'Suivi Agents'!$F32&gt;0,R$4=1,R$3&lt;=Paramètres!$B$10),R32/'Suivi Agents'!$G32+R32/1000+(1000-ROW())/10000000,-1)</f>
        <v>-1</v>
      </c>
      <c r="S77" s="44">
        <f>IF(AND('Suivi Agents'!$C32="Oui",'Suivi Agents'!$F32&gt;0,S$4=1,S$3&lt;=Paramètres!$B$10),S32/'Suivi Agents'!$G32+S32/1000+(1000-ROW())/10000000,-1)</f>
        <v>-1</v>
      </c>
      <c r="T77" s="44">
        <f>IF(AND('Suivi Agents'!$C32="Oui",'Suivi Agents'!$F32&gt;0,T$4=1,T$3&lt;=Paramètres!$B$10),T32/'Suivi Agents'!$G32+T32/1000+(1000-ROW())/10000000,-1)</f>
        <v>-1</v>
      </c>
      <c r="U77" s="44">
        <f>IF(AND('Suivi Agents'!$C32="Oui",'Suivi Agents'!$F32&gt;0,U$4=1,U$3&lt;=Paramètres!$B$10),U32/'Suivi Agents'!$G32+U32/1000+(1000-ROW())/10000000,-1)</f>
        <v>-1</v>
      </c>
      <c r="V77" s="44">
        <f>IF(AND('Suivi Agents'!$C32="Oui",'Suivi Agents'!$F32&gt;0,V$4=1,V$3&lt;=Paramètres!$B$10),V32/'Suivi Agents'!$G32+V32/1000+(1000-ROW())/10000000,-1)</f>
        <v>-1</v>
      </c>
      <c r="W77" s="44">
        <f>IF(AND('Suivi Agents'!$C32="Oui",'Suivi Agents'!$F32&gt;0,W$4=1,W$3&lt;=Paramètres!$B$10),W32/'Suivi Agents'!$G32+W32/1000+(1000-ROW())/10000000,-1)</f>
        <v>-1</v>
      </c>
      <c r="X77" s="44">
        <f>IF(AND('Suivi Agents'!$C32="Oui",'Suivi Agents'!$F32&gt;0,X$4=1,X$3&lt;=Paramètres!$B$10),X32/'Suivi Agents'!$G32+X32/1000+(1000-ROW())/10000000,-1)</f>
        <v>-1</v>
      </c>
      <c r="Y77" s="44">
        <f>IF(AND('Suivi Agents'!$C32="Oui",'Suivi Agents'!$F32&gt;0,Y$4=1,Y$3&lt;=Paramètres!$B$10),Y32/'Suivi Agents'!$G32+Y32/1000+(1000-ROW())/10000000,-1)</f>
        <v>-1</v>
      </c>
      <c r="Z77" s="44">
        <f>IF(AND('Suivi Agents'!$C32="Oui",'Suivi Agents'!$F32&gt;0,Z$4=1,Z$3&lt;=Paramètres!$B$10),Z32/'Suivi Agents'!$G32+Z32/1000+(1000-ROW())/10000000,-1)</f>
        <v>-1</v>
      </c>
      <c r="AA77" s="44">
        <f>IF(AND('Suivi Agents'!$C32="Oui",'Suivi Agents'!$F32&gt;0,AA$4=1,AA$3&lt;=Paramètres!$B$10),AA32/'Suivi Agents'!$G32+AA32/1000+(1000-ROW())/10000000,-1)</f>
        <v>-1</v>
      </c>
      <c r="AB77" s="44">
        <f>IF(AND('Suivi Agents'!$C32="Oui",'Suivi Agents'!$F32&gt;0,AB$4=1,AB$3&lt;=Paramètres!$B$10),AB32/'Suivi Agents'!$G32+AB32/1000+(1000-ROW())/10000000,-1)</f>
        <v>-1</v>
      </c>
      <c r="AC77" s="44">
        <f>IF(AND('Suivi Agents'!$C32="Oui",'Suivi Agents'!$F32&gt;0,AC$4=1,AC$3&lt;=Paramètres!$B$10),AC32/'Suivi Agents'!$G32+AC32/1000+(1000-ROW())/10000000,-1)</f>
        <v>-1</v>
      </c>
      <c r="AD77" s="44">
        <f>IF(AND('Suivi Agents'!$C32="Oui",'Suivi Agents'!$F32&gt;0,AD$4=1,AD$3&lt;=Paramètres!$B$10),AD32/'Suivi Agents'!$G32+AD32/1000+(1000-ROW())/10000000,-1)</f>
        <v>-1</v>
      </c>
      <c r="AE77" s="44">
        <f>IF(AND('Suivi Agents'!$C32="Oui",'Suivi Agents'!$F32&gt;0,AE$4=1,AE$3&lt;=Paramètres!$B$10),AE32/'Suivi Agents'!$G32+AE32/1000+(1000-ROW())/10000000,-1)</f>
        <v>-1</v>
      </c>
      <c r="AF77" s="44">
        <f>IF(AND('Suivi Agents'!$C32="Oui",'Suivi Agents'!$F32&gt;0,AF$4=1,AF$3&lt;=Paramètres!$B$10),AF32/'Suivi Agents'!$G32+AF32/1000+(1000-ROW())/10000000,-1)</f>
        <v>-1</v>
      </c>
      <c r="AG77" s="44">
        <f>IF(AND('Suivi Agents'!$C32="Oui",'Suivi Agents'!$F32&gt;0,AG$4=1,AG$3&lt;=Paramètres!$B$10),AG32/'Suivi Agents'!$G32+AG32/1000+(1000-ROW())/10000000,-1)</f>
        <v>-1</v>
      </c>
      <c r="AH77" s="44">
        <f>IF(AND('Suivi Agents'!$C32="Oui",'Suivi Agents'!$F32&gt;0,AH$4=1,AH$3&lt;=Paramètres!$B$10),AH32/'Suivi Agents'!$G32+AH32/1000+(1000-ROW())/10000000,-1)</f>
        <v>-1</v>
      </c>
    </row>
    <row r="78" spans="1:34" x14ac:dyDescent="0.45">
      <c r="A78" s="8" t="str">
        <f t="shared" si="1"/>
        <v>MIKE</v>
      </c>
      <c r="B78" s="8" t="str">
        <f t="shared" si="1"/>
        <v>pvt_rgz_hderrick.ftth</v>
      </c>
      <c r="D78" s="44">
        <f>IF(AND('Suivi Agents'!$C33="Oui",'Suivi Agents'!$F33&gt;0,D$4=1,D$3&lt;=Paramètres!$B$10),D33/'Suivi Agents'!$G33+D33/1000+(1000-ROW())/10000000,-1)</f>
        <v>9.2200000000000005E-5</v>
      </c>
      <c r="E78" s="44">
        <f>IF(AND('Suivi Agents'!$C33="Oui",'Suivi Agents'!$F33&gt;0,E$4=1,E$3&lt;=Paramètres!$B$10),E33/'Suivi Agents'!$G33+E33/1000+(1000-ROW())/10000000,-1)</f>
        <v>-1</v>
      </c>
      <c r="F78" s="44">
        <f>IF(AND('Suivi Agents'!$C33="Oui",'Suivi Agents'!$F33&gt;0,F$4=1,F$3&lt;=Paramètres!$B$10),F33/'Suivi Agents'!$G33+F33/1000+(1000-ROW())/10000000,-1)</f>
        <v>-1</v>
      </c>
      <c r="G78" s="44">
        <f>IF(AND('Suivi Agents'!$C33="Oui",'Suivi Agents'!$F33&gt;0,G$4=1,G$3&lt;=Paramètres!$B$10),G33/'Suivi Agents'!$G33+G33/1000+(1000-ROW())/10000000,-1)</f>
        <v>-1</v>
      </c>
      <c r="H78" s="44">
        <f>IF(AND('Suivi Agents'!$C33="Oui",'Suivi Agents'!$F33&gt;0,H$4=1,H$3&lt;=Paramètres!$B$10),H33/'Suivi Agents'!$G33+H33/1000+(1000-ROW())/10000000,-1)</f>
        <v>-1</v>
      </c>
      <c r="I78" s="44">
        <f>IF(AND('Suivi Agents'!$C33="Oui",'Suivi Agents'!$F33&gt;0,I$4=1,I$3&lt;=Paramètres!$B$10),I33/'Suivi Agents'!$G33+I33/1000+(1000-ROW())/10000000,-1)</f>
        <v>-1</v>
      </c>
      <c r="J78" s="44">
        <f>IF(AND('Suivi Agents'!$C33="Oui",'Suivi Agents'!$F33&gt;0,J$4=1,J$3&lt;=Paramètres!$B$10),J33/'Suivi Agents'!$G33+J33/1000+(1000-ROW())/10000000,-1)</f>
        <v>-1</v>
      </c>
      <c r="K78" s="44">
        <f>IF(AND('Suivi Agents'!$C33="Oui",'Suivi Agents'!$F33&gt;0,K$4=1,K$3&lt;=Paramètres!$B$10),K33/'Suivi Agents'!$G33+K33/1000+(1000-ROW())/10000000,-1)</f>
        <v>-1</v>
      </c>
      <c r="L78" s="44">
        <f>IF(AND('Suivi Agents'!$C33="Oui",'Suivi Agents'!$F33&gt;0,L$4=1,L$3&lt;=Paramètres!$B$10),L33/'Suivi Agents'!$G33+L33/1000+(1000-ROW())/10000000,-1)</f>
        <v>-1</v>
      </c>
      <c r="M78" s="44">
        <f>IF(AND('Suivi Agents'!$C33="Oui",'Suivi Agents'!$F33&gt;0,M$4=1,M$3&lt;=Paramètres!$B$10),M33/'Suivi Agents'!$G33+M33/1000+(1000-ROW())/10000000,-1)</f>
        <v>-1</v>
      </c>
      <c r="N78" s="44">
        <f>IF(AND('Suivi Agents'!$C33="Oui",'Suivi Agents'!$F33&gt;0,N$4=1,N$3&lt;=Paramètres!$B$10),N33/'Suivi Agents'!$G33+N33/1000+(1000-ROW())/10000000,-1)</f>
        <v>-1</v>
      </c>
      <c r="O78" s="44">
        <f>IF(AND('Suivi Agents'!$C33="Oui",'Suivi Agents'!$F33&gt;0,O$4=1,O$3&lt;=Paramètres!$B$10),O33/'Suivi Agents'!$G33+O33/1000+(1000-ROW())/10000000,-1)</f>
        <v>-1</v>
      </c>
      <c r="P78" s="44">
        <f>IF(AND('Suivi Agents'!$C33="Oui",'Suivi Agents'!$F33&gt;0,P$4=1,P$3&lt;=Paramètres!$B$10),P33/'Suivi Agents'!$G33+P33/1000+(1000-ROW())/10000000,-1)</f>
        <v>-1</v>
      </c>
      <c r="Q78" s="44">
        <f>IF(AND('Suivi Agents'!$C33="Oui",'Suivi Agents'!$F33&gt;0,Q$4=1,Q$3&lt;=Paramètres!$B$10),Q33/'Suivi Agents'!$G33+Q33/1000+(1000-ROW())/10000000,-1)</f>
        <v>-1</v>
      </c>
      <c r="R78" s="44">
        <f>IF(AND('Suivi Agents'!$C33="Oui",'Suivi Agents'!$F33&gt;0,R$4=1,R$3&lt;=Paramètres!$B$10),R33/'Suivi Agents'!$G33+R33/1000+(1000-ROW())/10000000,-1)</f>
        <v>-1</v>
      </c>
      <c r="S78" s="44">
        <f>IF(AND('Suivi Agents'!$C33="Oui",'Suivi Agents'!$F33&gt;0,S$4=1,S$3&lt;=Paramètres!$B$10),S33/'Suivi Agents'!$G33+S33/1000+(1000-ROW())/10000000,-1)</f>
        <v>-1</v>
      </c>
      <c r="T78" s="44">
        <f>IF(AND('Suivi Agents'!$C33="Oui",'Suivi Agents'!$F33&gt;0,T$4=1,T$3&lt;=Paramètres!$B$10),T33/'Suivi Agents'!$G33+T33/1000+(1000-ROW())/10000000,-1)</f>
        <v>-1</v>
      </c>
      <c r="U78" s="44">
        <f>IF(AND('Suivi Agents'!$C33="Oui",'Suivi Agents'!$F33&gt;0,U$4=1,U$3&lt;=Paramètres!$B$10),U33/'Suivi Agents'!$G33+U33/1000+(1000-ROW())/10000000,-1)</f>
        <v>-1</v>
      </c>
      <c r="V78" s="44">
        <f>IF(AND('Suivi Agents'!$C33="Oui",'Suivi Agents'!$F33&gt;0,V$4=1,V$3&lt;=Paramètres!$B$10),V33/'Suivi Agents'!$G33+V33/1000+(1000-ROW())/10000000,-1)</f>
        <v>-1</v>
      </c>
      <c r="W78" s="44">
        <f>IF(AND('Suivi Agents'!$C33="Oui",'Suivi Agents'!$F33&gt;0,W$4=1,W$3&lt;=Paramètres!$B$10),W33/'Suivi Agents'!$G33+W33/1000+(1000-ROW())/10000000,-1)</f>
        <v>-1</v>
      </c>
      <c r="X78" s="44">
        <f>IF(AND('Suivi Agents'!$C33="Oui",'Suivi Agents'!$F33&gt;0,X$4=1,X$3&lt;=Paramètres!$B$10),X33/'Suivi Agents'!$G33+X33/1000+(1000-ROW())/10000000,-1)</f>
        <v>-1</v>
      </c>
      <c r="Y78" s="44">
        <f>IF(AND('Suivi Agents'!$C33="Oui",'Suivi Agents'!$F33&gt;0,Y$4=1,Y$3&lt;=Paramètres!$B$10),Y33/'Suivi Agents'!$G33+Y33/1000+(1000-ROW())/10000000,-1)</f>
        <v>-1</v>
      </c>
      <c r="Z78" s="44">
        <f>IF(AND('Suivi Agents'!$C33="Oui",'Suivi Agents'!$F33&gt;0,Z$4=1,Z$3&lt;=Paramètres!$B$10),Z33/'Suivi Agents'!$G33+Z33/1000+(1000-ROW())/10000000,-1)</f>
        <v>-1</v>
      </c>
      <c r="AA78" s="44">
        <f>IF(AND('Suivi Agents'!$C33="Oui",'Suivi Agents'!$F33&gt;0,AA$4=1,AA$3&lt;=Paramètres!$B$10),AA33/'Suivi Agents'!$G33+AA33/1000+(1000-ROW())/10000000,-1)</f>
        <v>-1</v>
      </c>
      <c r="AB78" s="44">
        <f>IF(AND('Suivi Agents'!$C33="Oui",'Suivi Agents'!$F33&gt;0,AB$4=1,AB$3&lt;=Paramètres!$B$10),AB33/'Suivi Agents'!$G33+AB33/1000+(1000-ROW())/10000000,-1)</f>
        <v>-1</v>
      </c>
      <c r="AC78" s="44">
        <f>IF(AND('Suivi Agents'!$C33="Oui",'Suivi Agents'!$F33&gt;0,AC$4=1,AC$3&lt;=Paramètres!$B$10),AC33/'Suivi Agents'!$G33+AC33/1000+(1000-ROW())/10000000,-1)</f>
        <v>-1</v>
      </c>
      <c r="AD78" s="44">
        <f>IF(AND('Suivi Agents'!$C33="Oui",'Suivi Agents'!$F33&gt;0,AD$4=1,AD$3&lt;=Paramètres!$B$10),AD33/'Suivi Agents'!$G33+AD33/1000+(1000-ROW())/10000000,-1)</f>
        <v>-1</v>
      </c>
      <c r="AE78" s="44">
        <f>IF(AND('Suivi Agents'!$C33="Oui",'Suivi Agents'!$F33&gt;0,AE$4=1,AE$3&lt;=Paramètres!$B$10),AE33/'Suivi Agents'!$G33+AE33/1000+(1000-ROW())/10000000,-1)</f>
        <v>-1</v>
      </c>
      <c r="AF78" s="44">
        <f>IF(AND('Suivi Agents'!$C33="Oui",'Suivi Agents'!$F33&gt;0,AF$4=1,AF$3&lt;=Paramètres!$B$10),AF33/'Suivi Agents'!$G33+AF33/1000+(1000-ROW())/10000000,-1)</f>
        <v>-1</v>
      </c>
      <c r="AG78" s="44">
        <f>IF(AND('Suivi Agents'!$C33="Oui",'Suivi Agents'!$F33&gt;0,AG$4=1,AG$3&lt;=Paramètres!$B$10),AG33/'Suivi Agents'!$G33+AG33/1000+(1000-ROW())/10000000,-1)</f>
        <v>-1</v>
      </c>
      <c r="AH78" s="44">
        <f>IF(AND('Suivi Agents'!$C33="Oui",'Suivi Agents'!$F33&gt;0,AH$4=1,AH$3&lt;=Paramètres!$B$10),AH33/'Suivi Agents'!$G33+AH33/1000+(1000-ROW())/10000000,-1)</f>
        <v>-1</v>
      </c>
    </row>
    <row r="79" spans="1:34" x14ac:dyDescent="0.45">
      <c r="A79" s="8" t="str">
        <f t="shared" si="1"/>
        <v>MIKE</v>
      </c>
      <c r="B79" s="8" t="str">
        <f t="shared" si="1"/>
        <v>pms_rgz_kromeo.ftth</v>
      </c>
      <c r="D79" s="44">
        <f>IF(AND('Suivi Agents'!$C34="Oui",'Suivi Agents'!$F34&gt;0,D$4=1,D$3&lt;=Paramètres!$B$10),D34/'Suivi Agents'!$G34+D34/1000+(1000-ROW())/10000000,-1)</f>
        <v>9.2100000000000003E-5</v>
      </c>
      <c r="E79" s="44">
        <f>IF(AND('Suivi Agents'!$C34="Oui",'Suivi Agents'!$F34&gt;0,E$4=1,E$3&lt;=Paramètres!$B$10),E34/'Suivi Agents'!$G34+E34/1000+(1000-ROW())/10000000,-1)</f>
        <v>-1</v>
      </c>
      <c r="F79" s="44">
        <f>IF(AND('Suivi Agents'!$C34="Oui",'Suivi Agents'!$F34&gt;0,F$4=1,F$3&lt;=Paramètres!$B$10),F34/'Suivi Agents'!$G34+F34/1000+(1000-ROW())/10000000,-1)</f>
        <v>-1</v>
      </c>
      <c r="G79" s="44">
        <f>IF(AND('Suivi Agents'!$C34="Oui",'Suivi Agents'!$F34&gt;0,G$4=1,G$3&lt;=Paramètres!$B$10),G34/'Suivi Agents'!$G34+G34/1000+(1000-ROW())/10000000,-1)</f>
        <v>-1</v>
      </c>
      <c r="H79" s="44">
        <f>IF(AND('Suivi Agents'!$C34="Oui",'Suivi Agents'!$F34&gt;0,H$4=1,H$3&lt;=Paramètres!$B$10),H34/'Suivi Agents'!$G34+H34/1000+(1000-ROW())/10000000,-1)</f>
        <v>-1</v>
      </c>
      <c r="I79" s="44">
        <f>IF(AND('Suivi Agents'!$C34="Oui",'Suivi Agents'!$F34&gt;0,I$4=1,I$3&lt;=Paramètres!$B$10),I34/'Suivi Agents'!$G34+I34/1000+(1000-ROW())/10000000,-1)</f>
        <v>-1</v>
      </c>
      <c r="J79" s="44">
        <f>IF(AND('Suivi Agents'!$C34="Oui",'Suivi Agents'!$F34&gt;0,J$4=1,J$3&lt;=Paramètres!$B$10),J34/'Suivi Agents'!$G34+J34/1000+(1000-ROW())/10000000,-1)</f>
        <v>-1</v>
      </c>
      <c r="K79" s="44">
        <f>IF(AND('Suivi Agents'!$C34="Oui",'Suivi Agents'!$F34&gt;0,K$4=1,K$3&lt;=Paramètres!$B$10),K34/'Suivi Agents'!$G34+K34/1000+(1000-ROW())/10000000,-1)</f>
        <v>-1</v>
      </c>
      <c r="L79" s="44">
        <f>IF(AND('Suivi Agents'!$C34="Oui",'Suivi Agents'!$F34&gt;0,L$4=1,L$3&lt;=Paramètres!$B$10),L34/'Suivi Agents'!$G34+L34/1000+(1000-ROW())/10000000,-1)</f>
        <v>-1</v>
      </c>
      <c r="M79" s="44">
        <f>IF(AND('Suivi Agents'!$C34="Oui",'Suivi Agents'!$F34&gt;0,M$4=1,M$3&lt;=Paramètres!$B$10),M34/'Suivi Agents'!$G34+M34/1000+(1000-ROW())/10000000,-1)</f>
        <v>-1</v>
      </c>
      <c r="N79" s="44">
        <f>IF(AND('Suivi Agents'!$C34="Oui",'Suivi Agents'!$F34&gt;0,N$4=1,N$3&lt;=Paramètres!$B$10),N34/'Suivi Agents'!$G34+N34/1000+(1000-ROW())/10000000,-1)</f>
        <v>-1</v>
      </c>
      <c r="O79" s="44">
        <f>IF(AND('Suivi Agents'!$C34="Oui",'Suivi Agents'!$F34&gt;0,O$4=1,O$3&lt;=Paramètres!$B$10),O34/'Suivi Agents'!$G34+O34/1000+(1000-ROW())/10000000,-1)</f>
        <v>-1</v>
      </c>
      <c r="P79" s="44">
        <f>IF(AND('Suivi Agents'!$C34="Oui",'Suivi Agents'!$F34&gt;0,P$4=1,P$3&lt;=Paramètres!$B$10),P34/'Suivi Agents'!$G34+P34/1000+(1000-ROW())/10000000,-1)</f>
        <v>-1</v>
      </c>
      <c r="Q79" s="44">
        <f>IF(AND('Suivi Agents'!$C34="Oui",'Suivi Agents'!$F34&gt;0,Q$4=1,Q$3&lt;=Paramètres!$B$10),Q34/'Suivi Agents'!$G34+Q34/1000+(1000-ROW())/10000000,-1)</f>
        <v>-1</v>
      </c>
      <c r="R79" s="44">
        <f>IF(AND('Suivi Agents'!$C34="Oui",'Suivi Agents'!$F34&gt;0,R$4=1,R$3&lt;=Paramètres!$B$10),R34/'Suivi Agents'!$G34+R34/1000+(1000-ROW())/10000000,-1)</f>
        <v>-1</v>
      </c>
      <c r="S79" s="44">
        <f>IF(AND('Suivi Agents'!$C34="Oui",'Suivi Agents'!$F34&gt;0,S$4=1,S$3&lt;=Paramètres!$B$10),S34/'Suivi Agents'!$G34+S34/1000+(1000-ROW())/10000000,-1)</f>
        <v>-1</v>
      </c>
      <c r="T79" s="44">
        <f>IF(AND('Suivi Agents'!$C34="Oui",'Suivi Agents'!$F34&gt;0,T$4=1,T$3&lt;=Paramètres!$B$10),T34/'Suivi Agents'!$G34+T34/1000+(1000-ROW())/10000000,-1)</f>
        <v>-1</v>
      </c>
      <c r="U79" s="44">
        <f>IF(AND('Suivi Agents'!$C34="Oui",'Suivi Agents'!$F34&gt;0,U$4=1,U$3&lt;=Paramètres!$B$10),U34/'Suivi Agents'!$G34+U34/1000+(1000-ROW())/10000000,-1)</f>
        <v>-1</v>
      </c>
      <c r="V79" s="44">
        <f>IF(AND('Suivi Agents'!$C34="Oui",'Suivi Agents'!$F34&gt;0,V$4=1,V$3&lt;=Paramètres!$B$10),V34/'Suivi Agents'!$G34+V34/1000+(1000-ROW())/10000000,-1)</f>
        <v>-1</v>
      </c>
      <c r="W79" s="44">
        <f>IF(AND('Suivi Agents'!$C34="Oui",'Suivi Agents'!$F34&gt;0,W$4=1,W$3&lt;=Paramètres!$B$10),W34/'Suivi Agents'!$G34+W34/1000+(1000-ROW())/10000000,-1)</f>
        <v>-1</v>
      </c>
      <c r="X79" s="44">
        <f>IF(AND('Suivi Agents'!$C34="Oui",'Suivi Agents'!$F34&gt;0,X$4=1,X$3&lt;=Paramètres!$B$10),X34/'Suivi Agents'!$G34+X34/1000+(1000-ROW())/10000000,-1)</f>
        <v>-1</v>
      </c>
      <c r="Y79" s="44">
        <f>IF(AND('Suivi Agents'!$C34="Oui",'Suivi Agents'!$F34&gt;0,Y$4=1,Y$3&lt;=Paramètres!$B$10),Y34/'Suivi Agents'!$G34+Y34/1000+(1000-ROW())/10000000,-1)</f>
        <v>-1</v>
      </c>
      <c r="Z79" s="44">
        <f>IF(AND('Suivi Agents'!$C34="Oui",'Suivi Agents'!$F34&gt;0,Z$4=1,Z$3&lt;=Paramètres!$B$10),Z34/'Suivi Agents'!$G34+Z34/1000+(1000-ROW())/10000000,-1)</f>
        <v>-1</v>
      </c>
      <c r="AA79" s="44">
        <f>IF(AND('Suivi Agents'!$C34="Oui",'Suivi Agents'!$F34&gt;0,AA$4=1,AA$3&lt;=Paramètres!$B$10),AA34/'Suivi Agents'!$G34+AA34/1000+(1000-ROW())/10000000,-1)</f>
        <v>-1</v>
      </c>
      <c r="AB79" s="44">
        <f>IF(AND('Suivi Agents'!$C34="Oui",'Suivi Agents'!$F34&gt;0,AB$4=1,AB$3&lt;=Paramètres!$B$10),AB34/'Suivi Agents'!$G34+AB34/1000+(1000-ROW())/10000000,-1)</f>
        <v>-1</v>
      </c>
      <c r="AC79" s="44">
        <f>IF(AND('Suivi Agents'!$C34="Oui",'Suivi Agents'!$F34&gt;0,AC$4=1,AC$3&lt;=Paramètres!$B$10),AC34/'Suivi Agents'!$G34+AC34/1000+(1000-ROW())/10000000,-1)</f>
        <v>-1</v>
      </c>
      <c r="AD79" s="44">
        <f>IF(AND('Suivi Agents'!$C34="Oui",'Suivi Agents'!$F34&gt;0,AD$4=1,AD$3&lt;=Paramètres!$B$10),AD34/'Suivi Agents'!$G34+AD34/1000+(1000-ROW())/10000000,-1)</f>
        <v>-1</v>
      </c>
      <c r="AE79" s="44">
        <f>IF(AND('Suivi Agents'!$C34="Oui",'Suivi Agents'!$F34&gt;0,AE$4=1,AE$3&lt;=Paramètres!$B$10),AE34/'Suivi Agents'!$G34+AE34/1000+(1000-ROW())/10000000,-1)</f>
        <v>-1</v>
      </c>
      <c r="AF79" s="44">
        <f>IF(AND('Suivi Agents'!$C34="Oui",'Suivi Agents'!$F34&gt;0,AF$4=1,AF$3&lt;=Paramètres!$B$10),AF34/'Suivi Agents'!$G34+AF34/1000+(1000-ROW())/10000000,-1)</f>
        <v>-1</v>
      </c>
      <c r="AG79" s="44">
        <f>IF(AND('Suivi Agents'!$C34="Oui",'Suivi Agents'!$F34&gt;0,AG$4=1,AG$3&lt;=Paramètres!$B$10),AG34/'Suivi Agents'!$G34+AG34/1000+(1000-ROW())/10000000,-1)</f>
        <v>-1</v>
      </c>
      <c r="AH79" s="44">
        <f>IF(AND('Suivi Agents'!$C34="Oui",'Suivi Agents'!$F34&gt;0,AH$4=1,AH$3&lt;=Paramètres!$B$10),AH34/'Suivi Agents'!$G34+AH34/1000+(1000-ROW())/10000000,-1)</f>
        <v>-1</v>
      </c>
    </row>
    <row r="80" spans="1:34" x14ac:dyDescent="0.45">
      <c r="A80" s="8" t="str">
        <f t="shared" si="1"/>
        <v>ANONYMAT</v>
      </c>
      <c r="B80" s="8" t="str">
        <f t="shared" si="1"/>
        <v>pvt_rgz_gprince.ftth</v>
      </c>
      <c r="D80" s="44">
        <f>IF(AND('Suivi Agents'!$C35="Oui",'Suivi Agents'!$F35&gt;0,D$4=1,D$3&lt;=Paramètres!$B$10),D35/'Suivi Agents'!$G35+D35/1000+(1000-ROW())/10000000,-1)</f>
        <v>9.2E-5</v>
      </c>
      <c r="E80" s="44">
        <f>IF(AND('Suivi Agents'!$C35="Oui",'Suivi Agents'!$F35&gt;0,E$4=1,E$3&lt;=Paramètres!$B$10),E35/'Suivi Agents'!$G35+E35/1000+(1000-ROW())/10000000,-1)</f>
        <v>-1</v>
      </c>
      <c r="F80" s="44">
        <f>IF(AND('Suivi Agents'!$C35="Oui",'Suivi Agents'!$F35&gt;0,F$4=1,F$3&lt;=Paramètres!$B$10),F35/'Suivi Agents'!$G35+F35/1000+(1000-ROW())/10000000,-1)</f>
        <v>-1</v>
      </c>
      <c r="G80" s="44">
        <f>IF(AND('Suivi Agents'!$C35="Oui",'Suivi Agents'!$F35&gt;0,G$4=1,G$3&lt;=Paramètres!$B$10),G35/'Suivi Agents'!$G35+G35/1000+(1000-ROW())/10000000,-1)</f>
        <v>-1</v>
      </c>
      <c r="H80" s="44">
        <f>IF(AND('Suivi Agents'!$C35="Oui",'Suivi Agents'!$F35&gt;0,H$4=1,H$3&lt;=Paramètres!$B$10),H35/'Suivi Agents'!$G35+H35/1000+(1000-ROW())/10000000,-1)</f>
        <v>-1</v>
      </c>
      <c r="I80" s="44">
        <f>IF(AND('Suivi Agents'!$C35="Oui",'Suivi Agents'!$F35&gt;0,I$4=1,I$3&lt;=Paramètres!$B$10),I35/'Suivi Agents'!$G35+I35/1000+(1000-ROW())/10000000,-1)</f>
        <v>-1</v>
      </c>
      <c r="J80" s="44">
        <f>IF(AND('Suivi Agents'!$C35="Oui",'Suivi Agents'!$F35&gt;0,J$4=1,J$3&lt;=Paramètres!$B$10),J35/'Suivi Agents'!$G35+J35/1000+(1000-ROW())/10000000,-1)</f>
        <v>-1</v>
      </c>
      <c r="K80" s="44">
        <f>IF(AND('Suivi Agents'!$C35="Oui",'Suivi Agents'!$F35&gt;0,K$4=1,K$3&lt;=Paramètres!$B$10),K35/'Suivi Agents'!$G35+K35/1000+(1000-ROW())/10000000,-1)</f>
        <v>-1</v>
      </c>
      <c r="L80" s="44">
        <f>IF(AND('Suivi Agents'!$C35="Oui",'Suivi Agents'!$F35&gt;0,L$4=1,L$3&lt;=Paramètres!$B$10),L35/'Suivi Agents'!$G35+L35/1000+(1000-ROW())/10000000,-1)</f>
        <v>-1</v>
      </c>
      <c r="M80" s="44">
        <f>IF(AND('Suivi Agents'!$C35="Oui",'Suivi Agents'!$F35&gt;0,M$4=1,M$3&lt;=Paramètres!$B$10),M35/'Suivi Agents'!$G35+M35/1000+(1000-ROW())/10000000,-1)</f>
        <v>-1</v>
      </c>
      <c r="N80" s="44">
        <f>IF(AND('Suivi Agents'!$C35="Oui",'Suivi Agents'!$F35&gt;0,N$4=1,N$3&lt;=Paramètres!$B$10),N35/'Suivi Agents'!$G35+N35/1000+(1000-ROW())/10000000,-1)</f>
        <v>-1</v>
      </c>
      <c r="O80" s="44">
        <f>IF(AND('Suivi Agents'!$C35="Oui",'Suivi Agents'!$F35&gt;0,O$4=1,O$3&lt;=Paramètres!$B$10),O35/'Suivi Agents'!$G35+O35/1000+(1000-ROW())/10000000,-1)</f>
        <v>-1</v>
      </c>
      <c r="P80" s="44">
        <f>IF(AND('Suivi Agents'!$C35="Oui",'Suivi Agents'!$F35&gt;0,P$4=1,P$3&lt;=Paramètres!$B$10),P35/'Suivi Agents'!$G35+P35/1000+(1000-ROW())/10000000,-1)</f>
        <v>-1</v>
      </c>
      <c r="Q80" s="44">
        <f>IF(AND('Suivi Agents'!$C35="Oui",'Suivi Agents'!$F35&gt;0,Q$4=1,Q$3&lt;=Paramètres!$B$10),Q35/'Suivi Agents'!$G35+Q35/1000+(1000-ROW())/10000000,-1)</f>
        <v>-1</v>
      </c>
      <c r="R80" s="44">
        <f>IF(AND('Suivi Agents'!$C35="Oui",'Suivi Agents'!$F35&gt;0,R$4=1,R$3&lt;=Paramètres!$B$10),R35/'Suivi Agents'!$G35+R35/1000+(1000-ROW())/10000000,-1)</f>
        <v>-1</v>
      </c>
      <c r="S80" s="44">
        <f>IF(AND('Suivi Agents'!$C35="Oui",'Suivi Agents'!$F35&gt;0,S$4=1,S$3&lt;=Paramètres!$B$10),S35/'Suivi Agents'!$G35+S35/1000+(1000-ROW())/10000000,-1)</f>
        <v>-1</v>
      </c>
      <c r="T80" s="44">
        <f>IF(AND('Suivi Agents'!$C35="Oui",'Suivi Agents'!$F35&gt;0,T$4=1,T$3&lt;=Paramètres!$B$10),T35/'Suivi Agents'!$G35+T35/1000+(1000-ROW())/10000000,-1)</f>
        <v>-1</v>
      </c>
      <c r="U80" s="44">
        <f>IF(AND('Suivi Agents'!$C35="Oui",'Suivi Agents'!$F35&gt;0,U$4=1,U$3&lt;=Paramètres!$B$10),U35/'Suivi Agents'!$G35+U35/1000+(1000-ROW())/10000000,-1)</f>
        <v>-1</v>
      </c>
      <c r="V80" s="44">
        <f>IF(AND('Suivi Agents'!$C35="Oui",'Suivi Agents'!$F35&gt;0,V$4=1,V$3&lt;=Paramètres!$B$10),V35/'Suivi Agents'!$G35+V35/1000+(1000-ROW())/10000000,-1)</f>
        <v>-1</v>
      </c>
      <c r="W80" s="44">
        <f>IF(AND('Suivi Agents'!$C35="Oui",'Suivi Agents'!$F35&gt;0,W$4=1,W$3&lt;=Paramètres!$B$10),W35/'Suivi Agents'!$G35+W35/1000+(1000-ROW())/10000000,-1)</f>
        <v>-1</v>
      </c>
      <c r="X80" s="44">
        <f>IF(AND('Suivi Agents'!$C35="Oui",'Suivi Agents'!$F35&gt;0,X$4=1,X$3&lt;=Paramètres!$B$10),X35/'Suivi Agents'!$G35+X35/1000+(1000-ROW())/10000000,-1)</f>
        <v>-1</v>
      </c>
      <c r="Y80" s="44">
        <f>IF(AND('Suivi Agents'!$C35="Oui",'Suivi Agents'!$F35&gt;0,Y$4=1,Y$3&lt;=Paramètres!$B$10),Y35/'Suivi Agents'!$G35+Y35/1000+(1000-ROW())/10000000,-1)</f>
        <v>-1</v>
      </c>
      <c r="Z80" s="44">
        <f>IF(AND('Suivi Agents'!$C35="Oui",'Suivi Agents'!$F35&gt;0,Z$4=1,Z$3&lt;=Paramètres!$B$10),Z35/'Suivi Agents'!$G35+Z35/1000+(1000-ROW())/10000000,-1)</f>
        <v>-1</v>
      </c>
      <c r="AA80" s="44">
        <f>IF(AND('Suivi Agents'!$C35="Oui",'Suivi Agents'!$F35&gt;0,AA$4=1,AA$3&lt;=Paramètres!$B$10),AA35/'Suivi Agents'!$G35+AA35/1000+(1000-ROW())/10000000,-1)</f>
        <v>-1</v>
      </c>
      <c r="AB80" s="44">
        <f>IF(AND('Suivi Agents'!$C35="Oui",'Suivi Agents'!$F35&gt;0,AB$4=1,AB$3&lt;=Paramètres!$B$10),AB35/'Suivi Agents'!$G35+AB35/1000+(1000-ROW())/10000000,-1)</f>
        <v>-1</v>
      </c>
      <c r="AC80" s="44">
        <f>IF(AND('Suivi Agents'!$C35="Oui",'Suivi Agents'!$F35&gt;0,AC$4=1,AC$3&lt;=Paramètres!$B$10),AC35/'Suivi Agents'!$G35+AC35/1000+(1000-ROW())/10000000,-1)</f>
        <v>-1</v>
      </c>
      <c r="AD80" s="44">
        <f>IF(AND('Suivi Agents'!$C35="Oui",'Suivi Agents'!$F35&gt;0,AD$4=1,AD$3&lt;=Paramètres!$B$10),AD35/'Suivi Agents'!$G35+AD35/1000+(1000-ROW())/10000000,-1)</f>
        <v>-1</v>
      </c>
      <c r="AE80" s="44">
        <f>IF(AND('Suivi Agents'!$C35="Oui",'Suivi Agents'!$F35&gt;0,AE$4=1,AE$3&lt;=Paramètres!$B$10),AE35/'Suivi Agents'!$G35+AE35/1000+(1000-ROW())/10000000,-1)</f>
        <v>-1</v>
      </c>
      <c r="AF80" s="44">
        <f>IF(AND('Suivi Agents'!$C35="Oui",'Suivi Agents'!$F35&gt;0,AF$4=1,AF$3&lt;=Paramètres!$B$10),AF35/'Suivi Agents'!$G35+AF35/1000+(1000-ROW())/10000000,-1)</f>
        <v>-1</v>
      </c>
      <c r="AG80" s="44">
        <f>IF(AND('Suivi Agents'!$C35="Oui",'Suivi Agents'!$F35&gt;0,AG$4=1,AG$3&lt;=Paramètres!$B$10),AG35/'Suivi Agents'!$G35+AG35/1000+(1000-ROW())/10000000,-1)</f>
        <v>-1</v>
      </c>
      <c r="AH80" s="44">
        <f>IF(AND('Suivi Agents'!$C35="Oui",'Suivi Agents'!$F35&gt;0,AH$4=1,AH$3&lt;=Paramètres!$B$10),AH35/'Suivi Agents'!$G35+AH35/1000+(1000-ROW())/10000000,-1)</f>
        <v>-1</v>
      </c>
    </row>
    <row r="81" spans="1:34" x14ac:dyDescent="0.45">
      <c r="A81" s="8" t="str">
        <f t="shared" si="1"/>
        <v>ANONYMAT</v>
      </c>
      <c r="B81" s="8" t="str">
        <f t="shared" si="1"/>
        <v>pvt_rgz_akoffi.ftth</v>
      </c>
      <c r="D81" s="44">
        <f>IF(AND('Suivi Agents'!$C36="Oui",'Suivi Agents'!$F36&gt;0,D$4=1,D$3&lt;=Paramètres!$B$10),D36/'Suivi Agents'!$G36+D36/1000+(1000-ROW())/10000000,-1)</f>
        <v>9.1899999999999998E-5</v>
      </c>
      <c r="E81" s="44">
        <f>IF(AND('Suivi Agents'!$C36="Oui",'Suivi Agents'!$F36&gt;0,E$4=1,E$3&lt;=Paramètres!$B$10),E36/'Suivi Agents'!$G36+E36/1000+(1000-ROW())/10000000,-1)</f>
        <v>-1</v>
      </c>
      <c r="F81" s="44">
        <f>IF(AND('Suivi Agents'!$C36="Oui",'Suivi Agents'!$F36&gt;0,F$4=1,F$3&lt;=Paramètres!$B$10),F36/'Suivi Agents'!$G36+F36/1000+(1000-ROW())/10000000,-1)</f>
        <v>-1</v>
      </c>
      <c r="G81" s="44">
        <f>IF(AND('Suivi Agents'!$C36="Oui",'Suivi Agents'!$F36&gt;0,G$4=1,G$3&lt;=Paramètres!$B$10),G36/'Suivi Agents'!$G36+G36/1000+(1000-ROW())/10000000,-1)</f>
        <v>-1</v>
      </c>
      <c r="H81" s="44">
        <f>IF(AND('Suivi Agents'!$C36="Oui",'Suivi Agents'!$F36&gt;0,H$4=1,H$3&lt;=Paramètres!$B$10),H36/'Suivi Agents'!$G36+H36/1000+(1000-ROW())/10000000,-1)</f>
        <v>-1</v>
      </c>
      <c r="I81" s="44">
        <f>IF(AND('Suivi Agents'!$C36="Oui",'Suivi Agents'!$F36&gt;0,I$4=1,I$3&lt;=Paramètres!$B$10),I36/'Suivi Agents'!$G36+I36/1000+(1000-ROW())/10000000,-1)</f>
        <v>-1</v>
      </c>
      <c r="J81" s="44">
        <f>IF(AND('Suivi Agents'!$C36="Oui",'Suivi Agents'!$F36&gt;0,J$4=1,J$3&lt;=Paramètres!$B$10),J36/'Suivi Agents'!$G36+J36/1000+(1000-ROW())/10000000,-1)</f>
        <v>-1</v>
      </c>
      <c r="K81" s="44">
        <f>IF(AND('Suivi Agents'!$C36="Oui",'Suivi Agents'!$F36&gt;0,K$4=1,K$3&lt;=Paramètres!$B$10),K36/'Suivi Agents'!$G36+K36/1000+(1000-ROW())/10000000,-1)</f>
        <v>-1</v>
      </c>
      <c r="L81" s="44">
        <f>IF(AND('Suivi Agents'!$C36="Oui",'Suivi Agents'!$F36&gt;0,L$4=1,L$3&lt;=Paramètres!$B$10),L36/'Suivi Agents'!$G36+L36/1000+(1000-ROW())/10000000,-1)</f>
        <v>-1</v>
      </c>
      <c r="M81" s="44">
        <f>IF(AND('Suivi Agents'!$C36="Oui",'Suivi Agents'!$F36&gt;0,M$4=1,M$3&lt;=Paramètres!$B$10),M36/'Suivi Agents'!$G36+M36/1000+(1000-ROW())/10000000,-1)</f>
        <v>-1</v>
      </c>
      <c r="N81" s="44">
        <f>IF(AND('Suivi Agents'!$C36="Oui",'Suivi Agents'!$F36&gt;0,N$4=1,N$3&lt;=Paramètres!$B$10),N36/'Suivi Agents'!$G36+N36/1000+(1000-ROW())/10000000,-1)</f>
        <v>-1</v>
      </c>
      <c r="O81" s="44">
        <f>IF(AND('Suivi Agents'!$C36="Oui",'Suivi Agents'!$F36&gt;0,O$4=1,O$3&lt;=Paramètres!$B$10),O36/'Suivi Agents'!$G36+O36/1000+(1000-ROW())/10000000,-1)</f>
        <v>-1</v>
      </c>
      <c r="P81" s="44">
        <f>IF(AND('Suivi Agents'!$C36="Oui",'Suivi Agents'!$F36&gt;0,P$4=1,P$3&lt;=Paramètres!$B$10),P36/'Suivi Agents'!$G36+P36/1000+(1000-ROW())/10000000,-1)</f>
        <v>-1</v>
      </c>
      <c r="Q81" s="44">
        <f>IF(AND('Suivi Agents'!$C36="Oui",'Suivi Agents'!$F36&gt;0,Q$4=1,Q$3&lt;=Paramètres!$B$10),Q36/'Suivi Agents'!$G36+Q36/1000+(1000-ROW())/10000000,-1)</f>
        <v>-1</v>
      </c>
      <c r="R81" s="44">
        <f>IF(AND('Suivi Agents'!$C36="Oui",'Suivi Agents'!$F36&gt;0,R$4=1,R$3&lt;=Paramètres!$B$10),R36/'Suivi Agents'!$G36+R36/1000+(1000-ROW())/10000000,-1)</f>
        <v>-1</v>
      </c>
      <c r="S81" s="44">
        <f>IF(AND('Suivi Agents'!$C36="Oui",'Suivi Agents'!$F36&gt;0,S$4=1,S$3&lt;=Paramètres!$B$10),S36/'Suivi Agents'!$G36+S36/1000+(1000-ROW())/10000000,-1)</f>
        <v>-1</v>
      </c>
      <c r="T81" s="44">
        <f>IF(AND('Suivi Agents'!$C36="Oui",'Suivi Agents'!$F36&gt;0,T$4=1,T$3&lt;=Paramètres!$B$10),T36/'Suivi Agents'!$G36+T36/1000+(1000-ROW())/10000000,-1)</f>
        <v>-1</v>
      </c>
      <c r="U81" s="44">
        <f>IF(AND('Suivi Agents'!$C36="Oui",'Suivi Agents'!$F36&gt;0,U$4=1,U$3&lt;=Paramètres!$B$10),U36/'Suivi Agents'!$G36+U36/1000+(1000-ROW())/10000000,-1)</f>
        <v>-1</v>
      </c>
      <c r="V81" s="44">
        <f>IF(AND('Suivi Agents'!$C36="Oui",'Suivi Agents'!$F36&gt;0,V$4=1,V$3&lt;=Paramètres!$B$10),V36/'Suivi Agents'!$G36+V36/1000+(1000-ROW())/10000000,-1)</f>
        <v>-1</v>
      </c>
      <c r="W81" s="44">
        <f>IF(AND('Suivi Agents'!$C36="Oui",'Suivi Agents'!$F36&gt;0,W$4=1,W$3&lt;=Paramètres!$B$10),W36/'Suivi Agents'!$G36+W36/1000+(1000-ROW())/10000000,-1)</f>
        <v>-1</v>
      </c>
      <c r="X81" s="44">
        <f>IF(AND('Suivi Agents'!$C36="Oui",'Suivi Agents'!$F36&gt;0,X$4=1,X$3&lt;=Paramètres!$B$10),X36/'Suivi Agents'!$G36+X36/1000+(1000-ROW())/10000000,-1)</f>
        <v>-1</v>
      </c>
      <c r="Y81" s="44">
        <f>IF(AND('Suivi Agents'!$C36="Oui",'Suivi Agents'!$F36&gt;0,Y$4=1,Y$3&lt;=Paramètres!$B$10),Y36/'Suivi Agents'!$G36+Y36/1000+(1000-ROW())/10000000,-1)</f>
        <v>-1</v>
      </c>
      <c r="Z81" s="44">
        <f>IF(AND('Suivi Agents'!$C36="Oui",'Suivi Agents'!$F36&gt;0,Z$4=1,Z$3&lt;=Paramètres!$B$10),Z36/'Suivi Agents'!$G36+Z36/1000+(1000-ROW())/10000000,-1)</f>
        <v>-1</v>
      </c>
      <c r="AA81" s="44">
        <f>IF(AND('Suivi Agents'!$C36="Oui",'Suivi Agents'!$F36&gt;0,AA$4=1,AA$3&lt;=Paramètres!$B$10),AA36/'Suivi Agents'!$G36+AA36/1000+(1000-ROW())/10000000,-1)</f>
        <v>-1</v>
      </c>
      <c r="AB81" s="44">
        <f>IF(AND('Suivi Agents'!$C36="Oui",'Suivi Agents'!$F36&gt;0,AB$4=1,AB$3&lt;=Paramètres!$B$10),AB36/'Suivi Agents'!$G36+AB36/1000+(1000-ROW())/10000000,-1)</f>
        <v>-1</v>
      </c>
      <c r="AC81" s="44">
        <f>IF(AND('Suivi Agents'!$C36="Oui",'Suivi Agents'!$F36&gt;0,AC$4=1,AC$3&lt;=Paramètres!$B$10),AC36/'Suivi Agents'!$G36+AC36/1000+(1000-ROW())/10000000,-1)</f>
        <v>-1</v>
      </c>
      <c r="AD81" s="44">
        <f>IF(AND('Suivi Agents'!$C36="Oui",'Suivi Agents'!$F36&gt;0,AD$4=1,AD$3&lt;=Paramètres!$B$10),AD36/'Suivi Agents'!$G36+AD36/1000+(1000-ROW())/10000000,-1)</f>
        <v>-1</v>
      </c>
      <c r="AE81" s="44">
        <f>IF(AND('Suivi Agents'!$C36="Oui",'Suivi Agents'!$F36&gt;0,AE$4=1,AE$3&lt;=Paramètres!$B$10),AE36/'Suivi Agents'!$G36+AE36/1000+(1000-ROW())/10000000,-1)</f>
        <v>-1</v>
      </c>
      <c r="AF81" s="44">
        <f>IF(AND('Suivi Agents'!$C36="Oui",'Suivi Agents'!$F36&gt;0,AF$4=1,AF$3&lt;=Paramètres!$B$10),AF36/'Suivi Agents'!$G36+AF36/1000+(1000-ROW())/10000000,-1)</f>
        <v>-1</v>
      </c>
      <c r="AG81" s="44">
        <f>IF(AND('Suivi Agents'!$C36="Oui",'Suivi Agents'!$F36&gt;0,AG$4=1,AG$3&lt;=Paramètres!$B$10),AG36/'Suivi Agents'!$G36+AG36/1000+(1000-ROW())/10000000,-1)</f>
        <v>-1</v>
      </c>
      <c r="AH81" s="44">
        <f>IF(AND('Suivi Agents'!$C36="Oui",'Suivi Agents'!$F36&gt;0,AH$4=1,AH$3&lt;=Paramètres!$B$10),AH36/'Suivi Agents'!$G36+AH36/1000+(1000-ROW())/10000000,-1)</f>
        <v>-1</v>
      </c>
    </row>
    <row r="82" spans="1:34" x14ac:dyDescent="0.45">
      <c r="A82" s="8" t="str">
        <f t="shared" si="1"/>
        <v>ANONYMAT</v>
      </c>
      <c r="B82" s="8" t="str">
        <f t="shared" si="1"/>
        <v>pvt_rgz_agado.ftth</v>
      </c>
      <c r="D82" s="44">
        <f>IF(AND('Suivi Agents'!$C37="Oui",'Suivi Agents'!$F37&gt;0,D$4=1,D$3&lt;=Paramètres!$B$10),D37/'Suivi Agents'!$G37+D37/1000+(1000-ROW())/10000000,-1)</f>
        <v>9.1799999999999995E-5</v>
      </c>
      <c r="E82" s="44">
        <f>IF(AND('Suivi Agents'!$C37="Oui",'Suivi Agents'!$F37&gt;0,E$4=1,E$3&lt;=Paramètres!$B$10),E37/'Suivi Agents'!$G37+E37/1000+(1000-ROW())/10000000,-1)</f>
        <v>-1</v>
      </c>
      <c r="F82" s="44">
        <f>IF(AND('Suivi Agents'!$C37="Oui",'Suivi Agents'!$F37&gt;0,F$4=1,F$3&lt;=Paramètres!$B$10),F37/'Suivi Agents'!$G37+F37/1000+(1000-ROW())/10000000,-1)</f>
        <v>-1</v>
      </c>
      <c r="G82" s="44">
        <f>IF(AND('Suivi Agents'!$C37="Oui",'Suivi Agents'!$F37&gt;0,G$4=1,G$3&lt;=Paramètres!$B$10),G37/'Suivi Agents'!$G37+G37/1000+(1000-ROW())/10000000,-1)</f>
        <v>-1</v>
      </c>
      <c r="H82" s="44">
        <f>IF(AND('Suivi Agents'!$C37="Oui",'Suivi Agents'!$F37&gt;0,H$4=1,H$3&lt;=Paramètres!$B$10),H37/'Suivi Agents'!$G37+H37/1000+(1000-ROW())/10000000,-1)</f>
        <v>-1</v>
      </c>
      <c r="I82" s="44">
        <f>IF(AND('Suivi Agents'!$C37="Oui",'Suivi Agents'!$F37&gt;0,I$4=1,I$3&lt;=Paramètres!$B$10),I37/'Suivi Agents'!$G37+I37/1000+(1000-ROW())/10000000,-1)</f>
        <v>-1</v>
      </c>
      <c r="J82" s="44">
        <f>IF(AND('Suivi Agents'!$C37="Oui",'Suivi Agents'!$F37&gt;0,J$4=1,J$3&lt;=Paramètres!$B$10),J37/'Suivi Agents'!$G37+J37/1000+(1000-ROW())/10000000,-1)</f>
        <v>-1</v>
      </c>
      <c r="K82" s="44">
        <f>IF(AND('Suivi Agents'!$C37="Oui",'Suivi Agents'!$F37&gt;0,K$4=1,K$3&lt;=Paramètres!$B$10),K37/'Suivi Agents'!$G37+K37/1000+(1000-ROW())/10000000,-1)</f>
        <v>-1</v>
      </c>
      <c r="L82" s="44">
        <f>IF(AND('Suivi Agents'!$C37="Oui",'Suivi Agents'!$F37&gt;0,L$4=1,L$3&lt;=Paramètres!$B$10),L37/'Suivi Agents'!$G37+L37/1000+(1000-ROW())/10000000,-1)</f>
        <v>-1</v>
      </c>
      <c r="M82" s="44">
        <f>IF(AND('Suivi Agents'!$C37="Oui",'Suivi Agents'!$F37&gt;0,M$4=1,M$3&lt;=Paramètres!$B$10),M37/'Suivi Agents'!$G37+M37/1000+(1000-ROW())/10000000,-1)</f>
        <v>-1</v>
      </c>
      <c r="N82" s="44">
        <f>IF(AND('Suivi Agents'!$C37="Oui",'Suivi Agents'!$F37&gt;0,N$4=1,N$3&lt;=Paramètres!$B$10),N37/'Suivi Agents'!$G37+N37/1000+(1000-ROW())/10000000,-1)</f>
        <v>-1</v>
      </c>
      <c r="O82" s="44">
        <f>IF(AND('Suivi Agents'!$C37="Oui",'Suivi Agents'!$F37&gt;0,O$4=1,O$3&lt;=Paramètres!$B$10),O37/'Suivi Agents'!$G37+O37/1000+(1000-ROW())/10000000,-1)</f>
        <v>-1</v>
      </c>
      <c r="P82" s="44">
        <f>IF(AND('Suivi Agents'!$C37="Oui",'Suivi Agents'!$F37&gt;0,P$4=1,P$3&lt;=Paramètres!$B$10),P37/'Suivi Agents'!$G37+P37/1000+(1000-ROW())/10000000,-1)</f>
        <v>-1</v>
      </c>
      <c r="Q82" s="44">
        <f>IF(AND('Suivi Agents'!$C37="Oui",'Suivi Agents'!$F37&gt;0,Q$4=1,Q$3&lt;=Paramètres!$B$10),Q37/'Suivi Agents'!$G37+Q37/1000+(1000-ROW())/10000000,-1)</f>
        <v>-1</v>
      </c>
      <c r="R82" s="44">
        <f>IF(AND('Suivi Agents'!$C37="Oui",'Suivi Agents'!$F37&gt;0,R$4=1,R$3&lt;=Paramètres!$B$10),R37/'Suivi Agents'!$G37+R37/1000+(1000-ROW())/10000000,-1)</f>
        <v>-1</v>
      </c>
      <c r="S82" s="44">
        <f>IF(AND('Suivi Agents'!$C37="Oui",'Suivi Agents'!$F37&gt;0,S$4=1,S$3&lt;=Paramètres!$B$10),S37/'Suivi Agents'!$G37+S37/1000+(1000-ROW())/10000000,-1)</f>
        <v>-1</v>
      </c>
      <c r="T82" s="44">
        <f>IF(AND('Suivi Agents'!$C37="Oui",'Suivi Agents'!$F37&gt;0,T$4=1,T$3&lt;=Paramètres!$B$10),T37/'Suivi Agents'!$G37+T37/1000+(1000-ROW())/10000000,-1)</f>
        <v>-1</v>
      </c>
      <c r="U82" s="44">
        <f>IF(AND('Suivi Agents'!$C37="Oui",'Suivi Agents'!$F37&gt;0,U$4=1,U$3&lt;=Paramètres!$B$10),U37/'Suivi Agents'!$G37+U37/1000+(1000-ROW())/10000000,-1)</f>
        <v>-1</v>
      </c>
      <c r="V82" s="44">
        <f>IF(AND('Suivi Agents'!$C37="Oui",'Suivi Agents'!$F37&gt;0,V$4=1,V$3&lt;=Paramètres!$B$10),V37/'Suivi Agents'!$G37+V37/1000+(1000-ROW())/10000000,-1)</f>
        <v>-1</v>
      </c>
      <c r="W82" s="44">
        <f>IF(AND('Suivi Agents'!$C37="Oui",'Suivi Agents'!$F37&gt;0,W$4=1,W$3&lt;=Paramètres!$B$10),W37/'Suivi Agents'!$G37+W37/1000+(1000-ROW())/10000000,-1)</f>
        <v>-1</v>
      </c>
      <c r="X82" s="44">
        <f>IF(AND('Suivi Agents'!$C37="Oui",'Suivi Agents'!$F37&gt;0,X$4=1,X$3&lt;=Paramètres!$B$10),X37/'Suivi Agents'!$G37+X37/1000+(1000-ROW())/10000000,-1)</f>
        <v>-1</v>
      </c>
      <c r="Y82" s="44">
        <f>IF(AND('Suivi Agents'!$C37="Oui",'Suivi Agents'!$F37&gt;0,Y$4=1,Y$3&lt;=Paramètres!$B$10),Y37/'Suivi Agents'!$G37+Y37/1000+(1000-ROW())/10000000,-1)</f>
        <v>-1</v>
      </c>
      <c r="Z82" s="44">
        <f>IF(AND('Suivi Agents'!$C37="Oui",'Suivi Agents'!$F37&gt;0,Z$4=1,Z$3&lt;=Paramètres!$B$10),Z37/'Suivi Agents'!$G37+Z37/1000+(1000-ROW())/10000000,-1)</f>
        <v>-1</v>
      </c>
      <c r="AA82" s="44">
        <f>IF(AND('Suivi Agents'!$C37="Oui",'Suivi Agents'!$F37&gt;0,AA$4=1,AA$3&lt;=Paramètres!$B$10),AA37/'Suivi Agents'!$G37+AA37/1000+(1000-ROW())/10000000,-1)</f>
        <v>-1</v>
      </c>
      <c r="AB82" s="44">
        <f>IF(AND('Suivi Agents'!$C37="Oui",'Suivi Agents'!$F37&gt;0,AB$4=1,AB$3&lt;=Paramètres!$B$10),AB37/'Suivi Agents'!$G37+AB37/1000+(1000-ROW())/10000000,-1)</f>
        <v>-1</v>
      </c>
      <c r="AC82" s="44">
        <f>IF(AND('Suivi Agents'!$C37="Oui",'Suivi Agents'!$F37&gt;0,AC$4=1,AC$3&lt;=Paramètres!$B$10),AC37/'Suivi Agents'!$G37+AC37/1000+(1000-ROW())/10000000,-1)</f>
        <v>-1</v>
      </c>
      <c r="AD82" s="44">
        <f>IF(AND('Suivi Agents'!$C37="Oui",'Suivi Agents'!$F37&gt;0,AD$4=1,AD$3&lt;=Paramètres!$B$10),AD37/'Suivi Agents'!$G37+AD37/1000+(1000-ROW())/10000000,-1)</f>
        <v>-1</v>
      </c>
      <c r="AE82" s="44">
        <f>IF(AND('Suivi Agents'!$C37="Oui",'Suivi Agents'!$F37&gt;0,AE$4=1,AE$3&lt;=Paramètres!$B$10),AE37/'Suivi Agents'!$G37+AE37/1000+(1000-ROW())/10000000,-1)</f>
        <v>-1</v>
      </c>
      <c r="AF82" s="44">
        <f>IF(AND('Suivi Agents'!$C37="Oui",'Suivi Agents'!$F37&gt;0,AF$4=1,AF$3&lt;=Paramètres!$B$10),AF37/'Suivi Agents'!$G37+AF37/1000+(1000-ROW())/10000000,-1)</f>
        <v>-1</v>
      </c>
      <c r="AG82" s="44">
        <f>IF(AND('Suivi Agents'!$C37="Oui",'Suivi Agents'!$F37&gt;0,AG$4=1,AG$3&lt;=Paramètres!$B$10),AG37/'Suivi Agents'!$G37+AG37/1000+(1000-ROW())/10000000,-1)</f>
        <v>-1</v>
      </c>
      <c r="AH82" s="44">
        <f>IF(AND('Suivi Agents'!$C37="Oui",'Suivi Agents'!$F37&gt;0,AH$4=1,AH$3&lt;=Paramètres!$B$10),AH37/'Suivi Agents'!$G37+AH37/1000+(1000-ROW())/10000000,-1)</f>
        <v>-1</v>
      </c>
    </row>
    <row r="83" spans="1:34" x14ac:dyDescent="0.45">
      <c r="A83" s="8" t="str">
        <f t="shared" si="1"/>
        <v>ANONYMAT</v>
      </c>
      <c r="B83" s="8" t="str">
        <f t="shared" si="1"/>
        <v>pvt_rgz_lcedric.ftth</v>
      </c>
      <c r="D83" s="44">
        <f>IF(AND('Suivi Agents'!$C38="Oui",'Suivi Agents'!$F38&gt;0,D$4=1,D$3&lt;=Paramètres!$B$10),D38/'Suivi Agents'!$G38+D38/1000+(1000-ROW())/10000000,-1)</f>
        <v>9.1700000000000006E-5</v>
      </c>
      <c r="E83" s="44">
        <f>IF(AND('Suivi Agents'!$C38="Oui",'Suivi Agents'!$F38&gt;0,E$4=1,E$3&lt;=Paramètres!$B$10),E38/'Suivi Agents'!$G38+E38/1000+(1000-ROW())/10000000,-1)</f>
        <v>-1</v>
      </c>
      <c r="F83" s="44">
        <f>IF(AND('Suivi Agents'!$C38="Oui",'Suivi Agents'!$F38&gt;0,F$4=1,F$3&lt;=Paramètres!$B$10),F38/'Suivi Agents'!$G38+F38/1000+(1000-ROW())/10000000,-1)</f>
        <v>-1</v>
      </c>
      <c r="G83" s="44">
        <f>IF(AND('Suivi Agents'!$C38="Oui",'Suivi Agents'!$F38&gt;0,G$4=1,G$3&lt;=Paramètres!$B$10),G38/'Suivi Agents'!$G38+G38/1000+(1000-ROW())/10000000,-1)</f>
        <v>-1</v>
      </c>
      <c r="H83" s="44">
        <f>IF(AND('Suivi Agents'!$C38="Oui",'Suivi Agents'!$F38&gt;0,H$4=1,H$3&lt;=Paramètres!$B$10),H38/'Suivi Agents'!$G38+H38/1000+(1000-ROW())/10000000,-1)</f>
        <v>-1</v>
      </c>
      <c r="I83" s="44">
        <f>IF(AND('Suivi Agents'!$C38="Oui",'Suivi Agents'!$F38&gt;0,I$4=1,I$3&lt;=Paramètres!$B$10),I38/'Suivi Agents'!$G38+I38/1000+(1000-ROW())/10000000,-1)</f>
        <v>-1</v>
      </c>
      <c r="J83" s="44">
        <f>IF(AND('Suivi Agents'!$C38="Oui",'Suivi Agents'!$F38&gt;0,J$4=1,J$3&lt;=Paramètres!$B$10),J38/'Suivi Agents'!$G38+J38/1000+(1000-ROW())/10000000,-1)</f>
        <v>-1</v>
      </c>
      <c r="K83" s="44">
        <f>IF(AND('Suivi Agents'!$C38="Oui",'Suivi Agents'!$F38&gt;0,K$4=1,K$3&lt;=Paramètres!$B$10),K38/'Suivi Agents'!$G38+K38/1000+(1000-ROW())/10000000,-1)</f>
        <v>-1</v>
      </c>
      <c r="L83" s="44">
        <f>IF(AND('Suivi Agents'!$C38="Oui",'Suivi Agents'!$F38&gt;0,L$4=1,L$3&lt;=Paramètres!$B$10),L38/'Suivi Agents'!$G38+L38/1000+(1000-ROW())/10000000,-1)</f>
        <v>-1</v>
      </c>
      <c r="M83" s="44">
        <f>IF(AND('Suivi Agents'!$C38="Oui",'Suivi Agents'!$F38&gt;0,M$4=1,M$3&lt;=Paramètres!$B$10),M38/'Suivi Agents'!$G38+M38/1000+(1000-ROW())/10000000,-1)</f>
        <v>-1</v>
      </c>
      <c r="N83" s="44">
        <f>IF(AND('Suivi Agents'!$C38="Oui",'Suivi Agents'!$F38&gt;0,N$4=1,N$3&lt;=Paramètres!$B$10),N38/'Suivi Agents'!$G38+N38/1000+(1000-ROW())/10000000,-1)</f>
        <v>-1</v>
      </c>
      <c r="O83" s="44">
        <f>IF(AND('Suivi Agents'!$C38="Oui",'Suivi Agents'!$F38&gt;0,O$4=1,O$3&lt;=Paramètres!$B$10),O38/'Suivi Agents'!$G38+O38/1000+(1000-ROW())/10000000,-1)</f>
        <v>-1</v>
      </c>
      <c r="P83" s="44">
        <f>IF(AND('Suivi Agents'!$C38="Oui",'Suivi Agents'!$F38&gt;0,P$4=1,P$3&lt;=Paramètres!$B$10),P38/'Suivi Agents'!$G38+P38/1000+(1000-ROW())/10000000,-1)</f>
        <v>-1</v>
      </c>
      <c r="Q83" s="44">
        <f>IF(AND('Suivi Agents'!$C38="Oui",'Suivi Agents'!$F38&gt;0,Q$4=1,Q$3&lt;=Paramètres!$B$10),Q38/'Suivi Agents'!$G38+Q38/1000+(1000-ROW())/10000000,-1)</f>
        <v>-1</v>
      </c>
      <c r="R83" s="44">
        <f>IF(AND('Suivi Agents'!$C38="Oui",'Suivi Agents'!$F38&gt;0,R$4=1,R$3&lt;=Paramètres!$B$10),R38/'Suivi Agents'!$G38+R38/1000+(1000-ROW())/10000000,-1)</f>
        <v>-1</v>
      </c>
      <c r="S83" s="44">
        <f>IF(AND('Suivi Agents'!$C38="Oui",'Suivi Agents'!$F38&gt;0,S$4=1,S$3&lt;=Paramètres!$B$10),S38/'Suivi Agents'!$G38+S38/1000+(1000-ROW())/10000000,-1)</f>
        <v>-1</v>
      </c>
      <c r="T83" s="44">
        <f>IF(AND('Suivi Agents'!$C38="Oui",'Suivi Agents'!$F38&gt;0,T$4=1,T$3&lt;=Paramètres!$B$10),T38/'Suivi Agents'!$G38+T38/1000+(1000-ROW())/10000000,-1)</f>
        <v>-1</v>
      </c>
      <c r="U83" s="44">
        <f>IF(AND('Suivi Agents'!$C38="Oui",'Suivi Agents'!$F38&gt;0,U$4=1,U$3&lt;=Paramètres!$B$10),U38/'Suivi Agents'!$G38+U38/1000+(1000-ROW())/10000000,-1)</f>
        <v>-1</v>
      </c>
      <c r="V83" s="44">
        <f>IF(AND('Suivi Agents'!$C38="Oui",'Suivi Agents'!$F38&gt;0,V$4=1,V$3&lt;=Paramètres!$B$10),V38/'Suivi Agents'!$G38+V38/1000+(1000-ROW())/10000000,-1)</f>
        <v>-1</v>
      </c>
      <c r="W83" s="44">
        <f>IF(AND('Suivi Agents'!$C38="Oui",'Suivi Agents'!$F38&gt;0,W$4=1,W$3&lt;=Paramètres!$B$10),W38/'Suivi Agents'!$G38+W38/1000+(1000-ROW())/10000000,-1)</f>
        <v>-1</v>
      </c>
      <c r="X83" s="44">
        <f>IF(AND('Suivi Agents'!$C38="Oui",'Suivi Agents'!$F38&gt;0,X$4=1,X$3&lt;=Paramètres!$B$10),X38/'Suivi Agents'!$G38+X38/1000+(1000-ROW())/10000000,-1)</f>
        <v>-1</v>
      </c>
      <c r="Y83" s="44">
        <f>IF(AND('Suivi Agents'!$C38="Oui",'Suivi Agents'!$F38&gt;0,Y$4=1,Y$3&lt;=Paramètres!$B$10),Y38/'Suivi Agents'!$G38+Y38/1000+(1000-ROW())/10000000,-1)</f>
        <v>-1</v>
      </c>
      <c r="Z83" s="44">
        <f>IF(AND('Suivi Agents'!$C38="Oui",'Suivi Agents'!$F38&gt;0,Z$4=1,Z$3&lt;=Paramètres!$B$10),Z38/'Suivi Agents'!$G38+Z38/1000+(1000-ROW())/10000000,-1)</f>
        <v>-1</v>
      </c>
      <c r="AA83" s="44">
        <f>IF(AND('Suivi Agents'!$C38="Oui",'Suivi Agents'!$F38&gt;0,AA$4=1,AA$3&lt;=Paramètres!$B$10),AA38/'Suivi Agents'!$G38+AA38/1000+(1000-ROW())/10000000,-1)</f>
        <v>-1</v>
      </c>
      <c r="AB83" s="44">
        <f>IF(AND('Suivi Agents'!$C38="Oui",'Suivi Agents'!$F38&gt;0,AB$4=1,AB$3&lt;=Paramètres!$B$10),AB38/'Suivi Agents'!$G38+AB38/1000+(1000-ROW())/10000000,-1)</f>
        <v>-1</v>
      </c>
      <c r="AC83" s="44">
        <f>IF(AND('Suivi Agents'!$C38="Oui",'Suivi Agents'!$F38&gt;0,AC$4=1,AC$3&lt;=Paramètres!$B$10),AC38/'Suivi Agents'!$G38+AC38/1000+(1000-ROW())/10000000,-1)</f>
        <v>-1</v>
      </c>
      <c r="AD83" s="44">
        <f>IF(AND('Suivi Agents'!$C38="Oui",'Suivi Agents'!$F38&gt;0,AD$4=1,AD$3&lt;=Paramètres!$B$10),AD38/'Suivi Agents'!$G38+AD38/1000+(1000-ROW())/10000000,-1)</f>
        <v>-1</v>
      </c>
      <c r="AE83" s="44">
        <f>IF(AND('Suivi Agents'!$C38="Oui",'Suivi Agents'!$F38&gt;0,AE$4=1,AE$3&lt;=Paramètres!$B$10),AE38/'Suivi Agents'!$G38+AE38/1000+(1000-ROW())/10000000,-1)</f>
        <v>-1</v>
      </c>
      <c r="AF83" s="44">
        <f>IF(AND('Suivi Agents'!$C38="Oui",'Suivi Agents'!$F38&gt;0,AF$4=1,AF$3&lt;=Paramètres!$B$10),AF38/'Suivi Agents'!$G38+AF38/1000+(1000-ROW())/10000000,-1)</f>
        <v>-1</v>
      </c>
      <c r="AG83" s="44">
        <f>IF(AND('Suivi Agents'!$C38="Oui",'Suivi Agents'!$F38&gt;0,AG$4=1,AG$3&lt;=Paramètres!$B$10),AG38/'Suivi Agents'!$G38+AG38/1000+(1000-ROW())/10000000,-1)</f>
        <v>-1</v>
      </c>
      <c r="AH83" s="44">
        <f>IF(AND('Suivi Agents'!$C38="Oui",'Suivi Agents'!$F38&gt;0,AH$4=1,AH$3&lt;=Paramètres!$B$10),AH38/'Suivi Agents'!$G38+AH38/1000+(1000-ROW())/10000000,-1)</f>
        <v>-1</v>
      </c>
    </row>
    <row r="84" spans="1:34" x14ac:dyDescent="0.45">
      <c r="A84" s="8" t="str">
        <f t="shared" si="1"/>
        <v>CONCORDE</v>
      </c>
      <c r="B84" s="8" t="str">
        <f t="shared" si="1"/>
        <v>pvt_rgz_kbernadin.ftth</v>
      </c>
      <c r="D84" s="44">
        <f>IF(AND('Suivi Agents'!$C39="Oui",'Suivi Agents'!$F39&gt;0,D$4=1,D$3&lt;=Paramètres!$B$10),D39/'Suivi Agents'!$G39+D39/1000+(1000-ROW())/10000000,-1)</f>
        <v>9.1600000000000004E-5</v>
      </c>
      <c r="E84" s="44">
        <f>IF(AND('Suivi Agents'!$C39="Oui",'Suivi Agents'!$F39&gt;0,E$4=1,E$3&lt;=Paramètres!$B$10),E39/'Suivi Agents'!$G39+E39/1000+(1000-ROW())/10000000,-1)</f>
        <v>-1</v>
      </c>
      <c r="F84" s="44">
        <f>IF(AND('Suivi Agents'!$C39="Oui",'Suivi Agents'!$F39&gt;0,F$4=1,F$3&lt;=Paramètres!$B$10),F39/'Suivi Agents'!$G39+F39/1000+(1000-ROW())/10000000,-1)</f>
        <v>-1</v>
      </c>
      <c r="G84" s="44">
        <f>IF(AND('Suivi Agents'!$C39="Oui",'Suivi Agents'!$F39&gt;0,G$4=1,G$3&lt;=Paramètres!$B$10),G39/'Suivi Agents'!$G39+G39/1000+(1000-ROW())/10000000,-1)</f>
        <v>-1</v>
      </c>
      <c r="H84" s="44">
        <f>IF(AND('Suivi Agents'!$C39="Oui",'Suivi Agents'!$F39&gt;0,H$4=1,H$3&lt;=Paramètres!$B$10),H39/'Suivi Agents'!$G39+H39/1000+(1000-ROW())/10000000,-1)</f>
        <v>-1</v>
      </c>
      <c r="I84" s="44">
        <f>IF(AND('Suivi Agents'!$C39="Oui",'Suivi Agents'!$F39&gt;0,I$4=1,I$3&lt;=Paramètres!$B$10),I39/'Suivi Agents'!$G39+I39/1000+(1000-ROW())/10000000,-1)</f>
        <v>-1</v>
      </c>
      <c r="J84" s="44">
        <f>IF(AND('Suivi Agents'!$C39="Oui",'Suivi Agents'!$F39&gt;0,J$4=1,J$3&lt;=Paramètres!$B$10),J39/'Suivi Agents'!$G39+J39/1000+(1000-ROW())/10000000,-1)</f>
        <v>-1</v>
      </c>
      <c r="K84" s="44">
        <f>IF(AND('Suivi Agents'!$C39="Oui",'Suivi Agents'!$F39&gt;0,K$4=1,K$3&lt;=Paramètres!$B$10),K39/'Suivi Agents'!$G39+K39/1000+(1000-ROW())/10000000,-1)</f>
        <v>-1</v>
      </c>
      <c r="L84" s="44">
        <f>IF(AND('Suivi Agents'!$C39="Oui",'Suivi Agents'!$F39&gt;0,L$4=1,L$3&lt;=Paramètres!$B$10),L39/'Suivi Agents'!$G39+L39/1000+(1000-ROW())/10000000,-1)</f>
        <v>-1</v>
      </c>
      <c r="M84" s="44">
        <f>IF(AND('Suivi Agents'!$C39="Oui",'Suivi Agents'!$F39&gt;0,M$4=1,M$3&lt;=Paramètres!$B$10),M39/'Suivi Agents'!$G39+M39/1000+(1000-ROW())/10000000,-1)</f>
        <v>-1</v>
      </c>
      <c r="N84" s="44">
        <f>IF(AND('Suivi Agents'!$C39="Oui",'Suivi Agents'!$F39&gt;0,N$4=1,N$3&lt;=Paramètres!$B$10),N39/'Suivi Agents'!$G39+N39/1000+(1000-ROW())/10000000,-1)</f>
        <v>-1</v>
      </c>
      <c r="O84" s="44">
        <f>IF(AND('Suivi Agents'!$C39="Oui",'Suivi Agents'!$F39&gt;0,O$4=1,O$3&lt;=Paramètres!$B$10),O39/'Suivi Agents'!$G39+O39/1000+(1000-ROW())/10000000,-1)</f>
        <v>-1</v>
      </c>
      <c r="P84" s="44">
        <f>IF(AND('Suivi Agents'!$C39="Oui",'Suivi Agents'!$F39&gt;0,P$4=1,P$3&lt;=Paramètres!$B$10),P39/'Suivi Agents'!$G39+P39/1000+(1000-ROW())/10000000,-1)</f>
        <v>-1</v>
      </c>
      <c r="Q84" s="44">
        <f>IF(AND('Suivi Agents'!$C39="Oui",'Suivi Agents'!$F39&gt;0,Q$4=1,Q$3&lt;=Paramètres!$B$10),Q39/'Suivi Agents'!$G39+Q39/1000+(1000-ROW())/10000000,-1)</f>
        <v>-1</v>
      </c>
      <c r="R84" s="44">
        <f>IF(AND('Suivi Agents'!$C39="Oui",'Suivi Agents'!$F39&gt;0,R$4=1,R$3&lt;=Paramètres!$B$10),R39/'Suivi Agents'!$G39+R39/1000+(1000-ROW())/10000000,-1)</f>
        <v>-1</v>
      </c>
      <c r="S84" s="44">
        <f>IF(AND('Suivi Agents'!$C39="Oui",'Suivi Agents'!$F39&gt;0,S$4=1,S$3&lt;=Paramètres!$B$10),S39/'Suivi Agents'!$G39+S39/1000+(1000-ROW())/10000000,-1)</f>
        <v>-1</v>
      </c>
      <c r="T84" s="44">
        <f>IF(AND('Suivi Agents'!$C39="Oui",'Suivi Agents'!$F39&gt;0,T$4=1,T$3&lt;=Paramètres!$B$10),T39/'Suivi Agents'!$G39+T39/1000+(1000-ROW())/10000000,-1)</f>
        <v>-1</v>
      </c>
      <c r="U84" s="44">
        <f>IF(AND('Suivi Agents'!$C39="Oui",'Suivi Agents'!$F39&gt;0,U$4=1,U$3&lt;=Paramètres!$B$10),U39/'Suivi Agents'!$G39+U39/1000+(1000-ROW())/10000000,-1)</f>
        <v>-1</v>
      </c>
      <c r="V84" s="44">
        <f>IF(AND('Suivi Agents'!$C39="Oui",'Suivi Agents'!$F39&gt;0,V$4=1,V$3&lt;=Paramètres!$B$10),V39/'Suivi Agents'!$G39+V39/1000+(1000-ROW())/10000000,-1)</f>
        <v>-1</v>
      </c>
      <c r="W84" s="44">
        <f>IF(AND('Suivi Agents'!$C39="Oui",'Suivi Agents'!$F39&gt;0,W$4=1,W$3&lt;=Paramètres!$B$10),W39/'Suivi Agents'!$G39+W39/1000+(1000-ROW())/10000000,-1)</f>
        <v>-1</v>
      </c>
      <c r="X84" s="44">
        <f>IF(AND('Suivi Agents'!$C39="Oui",'Suivi Agents'!$F39&gt;0,X$4=1,X$3&lt;=Paramètres!$B$10),X39/'Suivi Agents'!$G39+X39/1000+(1000-ROW())/10000000,-1)</f>
        <v>-1</v>
      </c>
      <c r="Y84" s="44">
        <f>IF(AND('Suivi Agents'!$C39="Oui",'Suivi Agents'!$F39&gt;0,Y$4=1,Y$3&lt;=Paramètres!$B$10),Y39/'Suivi Agents'!$G39+Y39/1000+(1000-ROW())/10000000,-1)</f>
        <v>-1</v>
      </c>
      <c r="Z84" s="44">
        <f>IF(AND('Suivi Agents'!$C39="Oui",'Suivi Agents'!$F39&gt;0,Z$4=1,Z$3&lt;=Paramètres!$B$10),Z39/'Suivi Agents'!$G39+Z39/1000+(1000-ROW())/10000000,-1)</f>
        <v>-1</v>
      </c>
      <c r="AA84" s="44">
        <f>IF(AND('Suivi Agents'!$C39="Oui",'Suivi Agents'!$F39&gt;0,AA$4=1,AA$3&lt;=Paramètres!$B$10),AA39/'Suivi Agents'!$G39+AA39/1000+(1000-ROW())/10000000,-1)</f>
        <v>-1</v>
      </c>
      <c r="AB84" s="44">
        <f>IF(AND('Suivi Agents'!$C39="Oui",'Suivi Agents'!$F39&gt;0,AB$4=1,AB$3&lt;=Paramètres!$B$10),AB39/'Suivi Agents'!$G39+AB39/1000+(1000-ROW())/10000000,-1)</f>
        <v>-1</v>
      </c>
      <c r="AC84" s="44">
        <f>IF(AND('Suivi Agents'!$C39="Oui",'Suivi Agents'!$F39&gt;0,AC$4=1,AC$3&lt;=Paramètres!$B$10),AC39/'Suivi Agents'!$G39+AC39/1000+(1000-ROW())/10000000,-1)</f>
        <v>-1</v>
      </c>
      <c r="AD84" s="44">
        <f>IF(AND('Suivi Agents'!$C39="Oui",'Suivi Agents'!$F39&gt;0,AD$4=1,AD$3&lt;=Paramètres!$B$10),AD39/'Suivi Agents'!$G39+AD39/1000+(1000-ROW())/10000000,-1)</f>
        <v>-1</v>
      </c>
      <c r="AE84" s="44">
        <f>IF(AND('Suivi Agents'!$C39="Oui",'Suivi Agents'!$F39&gt;0,AE$4=1,AE$3&lt;=Paramètres!$B$10),AE39/'Suivi Agents'!$G39+AE39/1000+(1000-ROW())/10000000,-1)</f>
        <v>-1</v>
      </c>
      <c r="AF84" s="44">
        <f>IF(AND('Suivi Agents'!$C39="Oui",'Suivi Agents'!$F39&gt;0,AF$4=1,AF$3&lt;=Paramètres!$B$10),AF39/'Suivi Agents'!$G39+AF39/1000+(1000-ROW())/10000000,-1)</f>
        <v>-1</v>
      </c>
      <c r="AG84" s="44">
        <f>IF(AND('Suivi Agents'!$C39="Oui",'Suivi Agents'!$F39&gt;0,AG$4=1,AG$3&lt;=Paramètres!$B$10),AG39/'Suivi Agents'!$G39+AG39/1000+(1000-ROW())/10000000,-1)</f>
        <v>-1</v>
      </c>
      <c r="AH84" s="44">
        <f>IF(AND('Suivi Agents'!$C39="Oui",'Suivi Agents'!$F39&gt;0,AH$4=1,AH$3&lt;=Paramètres!$B$10),AH39/'Suivi Agents'!$G39+AH39/1000+(1000-ROW())/10000000,-1)</f>
        <v>-1</v>
      </c>
    </row>
    <row r="85" spans="1:34" x14ac:dyDescent="0.45">
      <c r="A85" s="8" t="str">
        <f t="shared" si="1"/>
        <v>CONCORDE</v>
      </c>
      <c r="B85" s="8" t="str">
        <f t="shared" si="1"/>
        <v>pms_rgz_cmerveille.ftth</v>
      </c>
      <c r="D85" s="44">
        <f>IF(AND('Suivi Agents'!$C40="Oui",'Suivi Agents'!$F40&gt;0,D$4=1,D$3&lt;=Paramètres!$B$10),D40/'Suivi Agents'!$G40+D40/1000+(1000-ROW())/10000000,-1)</f>
        <v>9.1500000000000001E-5</v>
      </c>
      <c r="E85" s="44">
        <f>IF(AND('Suivi Agents'!$C40="Oui",'Suivi Agents'!$F40&gt;0,E$4=1,E$3&lt;=Paramètres!$B$10),E40/'Suivi Agents'!$G40+E40/1000+(1000-ROW())/10000000,-1)</f>
        <v>-1</v>
      </c>
      <c r="F85" s="44">
        <f>IF(AND('Suivi Agents'!$C40="Oui",'Suivi Agents'!$F40&gt;0,F$4=1,F$3&lt;=Paramètres!$B$10),F40/'Suivi Agents'!$G40+F40/1000+(1000-ROW())/10000000,-1)</f>
        <v>-1</v>
      </c>
      <c r="G85" s="44">
        <f>IF(AND('Suivi Agents'!$C40="Oui",'Suivi Agents'!$F40&gt;0,G$4=1,G$3&lt;=Paramètres!$B$10),G40/'Suivi Agents'!$G40+G40/1000+(1000-ROW())/10000000,-1)</f>
        <v>-1</v>
      </c>
      <c r="H85" s="44">
        <f>IF(AND('Suivi Agents'!$C40="Oui",'Suivi Agents'!$F40&gt;0,H$4=1,H$3&lt;=Paramètres!$B$10),H40/'Suivi Agents'!$G40+H40/1000+(1000-ROW())/10000000,-1)</f>
        <v>-1</v>
      </c>
      <c r="I85" s="44">
        <f>IF(AND('Suivi Agents'!$C40="Oui",'Suivi Agents'!$F40&gt;0,I$4=1,I$3&lt;=Paramètres!$B$10),I40/'Suivi Agents'!$G40+I40/1000+(1000-ROW())/10000000,-1)</f>
        <v>-1</v>
      </c>
      <c r="J85" s="44">
        <f>IF(AND('Suivi Agents'!$C40="Oui",'Suivi Agents'!$F40&gt;0,J$4=1,J$3&lt;=Paramètres!$B$10),J40/'Suivi Agents'!$G40+J40/1000+(1000-ROW())/10000000,-1)</f>
        <v>-1</v>
      </c>
      <c r="K85" s="44">
        <f>IF(AND('Suivi Agents'!$C40="Oui",'Suivi Agents'!$F40&gt;0,K$4=1,K$3&lt;=Paramètres!$B$10),K40/'Suivi Agents'!$G40+K40/1000+(1000-ROW())/10000000,-1)</f>
        <v>-1</v>
      </c>
      <c r="L85" s="44">
        <f>IF(AND('Suivi Agents'!$C40="Oui",'Suivi Agents'!$F40&gt;0,L$4=1,L$3&lt;=Paramètres!$B$10),L40/'Suivi Agents'!$G40+L40/1000+(1000-ROW())/10000000,-1)</f>
        <v>-1</v>
      </c>
      <c r="M85" s="44">
        <f>IF(AND('Suivi Agents'!$C40="Oui",'Suivi Agents'!$F40&gt;0,M$4=1,M$3&lt;=Paramètres!$B$10),M40/'Suivi Agents'!$G40+M40/1000+(1000-ROW())/10000000,-1)</f>
        <v>-1</v>
      </c>
      <c r="N85" s="44">
        <f>IF(AND('Suivi Agents'!$C40="Oui",'Suivi Agents'!$F40&gt;0,N$4=1,N$3&lt;=Paramètres!$B$10),N40/'Suivi Agents'!$G40+N40/1000+(1000-ROW())/10000000,-1)</f>
        <v>-1</v>
      </c>
      <c r="O85" s="44">
        <f>IF(AND('Suivi Agents'!$C40="Oui",'Suivi Agents'!$F40&gt;0,O$4=1,O$3&lt;=Paramètres!$B$10),O40/'Suivi Agents'!$G40+O40/1000+(1000-ROW())/10000000,-1)</f>
        <v>-1</v>
      </c>
      <c r="P85" s="44">
        <f>IF(AND('Suivi Agents'!$C40="Oui",'Suivi Agents'!$F40&gt;0,P$4=1,P$3&lt;=Paramètres!$B$10),P40/'Suivi Agents'!$G40+P40/1000+(1000-ROW())/10000000,-1)</f>
        <v>-1</v>
      </c>
      <c r="Q85" s="44">
        <f>IF(AND('Suivi Agents'!$C40="Oui",'Suivi Agents'!$F40&gt;0,Q$4=1,Q$3&lt;=Paramètres!$B$10),Q40/'Suivi Agents'!$G40+Q40/1000+(1000-ROW())/10000000,-1)</f>
        <v>-1</v>
      </c>
      <c r="R85" s="44">
        <f>IF(AND('Suivi Agents'!$C40="Oui",'Suivi Agents'!$F40&gt;0,R$4=1,R$3&lt;=Paramètres!$B$10),R40/'Suivi Agents'!$G40+R40/1000+(1000-ROW())/10000000,-1)</f>
        <v>-1</v>
      </c>
      <c r="S85" s="44">
        <f>IF(AND('Suivi Agents'!$C40="Oui",'Suivi Agents'!$F40&gt;0,S$4=1,S$3&lt;=Paramètres!$B$10),S40/'Suivi Agents'!$G40+S40/1000+(1000-ROW())/10000000,-1)</f>
        <v>-1</v>
      </c>
      <c r="T85" s="44">
        <f>IF(AND('Suivi Agents'!$C40="Oui",'Suivi Agents'!$F40&gt;0,T$4=1,T$3&lt;=Paramètres!$B$10),T40/'Suivi Agents'!$G40+T40/1000+(1000-ROW())/10000000,-1)</f>
        <v>-1</v>
      </c>
      <c r="U85" s="44">
        <f>IF(AND('Suivi Agents'!$C40="Oui",'Suivi Agents'!$F40&gt;0,U$4=1,U$3&lt;=Paramètres!$B$10),U40/'Suivi Agents'!$G40+U40/1000+(1000-ROW())/10000000,-1)</f>
        <v>-1</v>
      </c>
      <c r="V85" s="44">
        <f>IF(AND('Suivi Agents'!$C40="Oui",'Suivi Agents'!$F40&gt;0,V$4=1,V$3&lt;=Paramètres!$B$10),V40/'Suivi Agents'!$G40+V40/1000+(1000-ROW())/10000000,-1)</f>
        <v>-1</v>
      </c>
      <c r="W85" s="44">
        <f>IF(AND('Suivi Agents'!$C40="Oui",'Suivi Agents'!$F40&gt;0,W$4=1,W$3&lt;=Paramètres!$B$10),W40/'Suivi Agents'!$G40+W40/1000+(1000-ROW())/10000000,-1)</f>
        <v>-1</v>
      </c>
      <c r="X85" s="44">
        <f>IF(AND('Suivi Agents'!$C40="Oui",'Suivi Agents'!$F40&gt;0,X$4=1,X$3&lt;=Paramètres!$B$10),X40/'Suivi Agents'!$G40+X40/1000+(1000-ROW())/10000000,-1)</f>
        <v>-1</v>
      </c>
      <c r="Y85" s="44">
        <f>IF(AND('Suivi Agents'!$C40="Oui",'Suivi Agents'!$F40&gt;0,Y$4=1,Y$3&lt;=Paramètres!$B$10),Y40/'Suivi Agents'!$G40+Y40/1000+(1000-ROW())/10000000,-1)</f>
        <v>-1</v>
      </c>
      <c r="Z85" s="44">
        <f>IF(AND('Suivi Agents'!$C40="Oui",'Suivi Agents'!$F40&gt;0,Z$4=1,Z$3&lt;=Paramètres!$B$10),Z40/'Suivi Agents'!$G40+Z40/1000+(1000-ROW())/10000000,-1)</f>
        <v>-1</v>
      </c>
      <c r="AA85" s="44">
        <f>IF(AND('Suivi Agents'!$C40="Oui",'Suivi Agents'!$F40&gt;0,AA$4=1,AA$3&lt;=Paramètres!$B$10),AA40/'Suivi Agents'!$G40+AA40/1000+(1000-ROW())/10000000,-1)</f>
        <v>-1</v>
      </c>
      <c r="AB85" s="44">
        <f>IF(AND('Suivi Agents'!$C40="Oui",'Suivi Agents'!$F40&gt;0,AB$4=1,AB$3&lt;=Paramètres!$B$10),AB40/'Suivi Agents'!$G40+AB40/1000+(1000-ROW())/10000000,-1)</f>
        <v>-1</v>
      </c>
      <c r="AC85" s="44">
        <f>IF(AND('Suivi Agents'!$C40="Oui",'Suivi Agents'!$F40&gt;0,AC$4=1,AC$3&lt;=Paramètres!$B$10),AC40/'Suivi Agents'!$G40+AC40/1000+(1000-ROW())/10000000,-1)</f>
        <v>-1</v>
      </c>
      <c r="AD85" s="44">
        <f>IF(AND('Suivi Agents'!$C40="Oui",'Suivi Agents'!$F40&gt;0,AD$4=1,AD$3&lt;=Paramètres!$B$10),AD40/'Suivi Agents'!$G40+AD40/1000+(1000-ROW())/10000000,-1)</f>
        <v>-1</v>
      </c>
      <c r="AE85" s="44">
        <f>IF(AND('Suivi Agents'!$C40="Oui",'Suivi Agents'!$F40&gt;0,AE$4=1,AE$3&lt;=Paramètres!$B$10),AE40/'Suivi Agents'!$G40+AE40/1000+(1000-ROW())/10000000,-1)</f>
        <v>-1</v>
      </c>
      <c r="AF85" s="44">
        <f>IF(AND('Suivi Agents'!$C40="Oui",'Suivi Agents'!$F40&gt;0,AF$4=1,AF$3&lt;=Paramètres!$B$10),AF40/'Suivi Agents'!$G40+AF40/1000+(1000-ROW())/10000000,-1)</f>
        <v>-1</v>
      </c>
      <c r="AG85" s="44">
        <f>IF(AND('Suivi Agents'!$C40="Oui",'Suivi Agents'!$F40&gt;0,AG$4=1,AG$3&lt;=Paramètres!$B$10),AG40/'Suivi Agents'!$G40+AG40/1000+(1000-ROW())/10000000,-1)</f>
        <v>-1</v>
      </c>
      <c r="AH85" s="44">
        <f>IF(AND('Suivi Agents'!$C40="Oui",'Suivi Agents'!$F40&gt;0,AH$4=1,AH$3&lt;=Paramètres!$B$10),AH40/'Suivi Agents'!$G40+AH40/1000+(1000-ROW())/10000000,-1)</f>
        <v>-1</v>
      </c>
    </row>
    <row r="86" spans="1:34" x14ac:dyDescent="0.45">
      <c r="A86" s="8" t="str">
        <f t="shared" si="1"/>
        <v>CONCORDE</v>
      </c>
      <c r="B86" s="8" t="str">
        <f t="shared" si="1"/>
        <v>pvt_rgz_kadebayo.ftth</v>
      </c>
      <c r="D86" s="44">
        <f>IF(AND('Suivi Agents'!$C41="Oui",'Suivi Agents'!$F41&gt;0,D$4=1,D$3&lt;=Paramètres!$B$10),D41/'Suivi Agents'!$G41+D41/1000+(1000-ROW())/10000000,-1)</f>
        <v>9.1399999999999999E-5</v>
      </c>
      <c r="E86" s="44">
        <f>IF(AND('Suivi Agents'!$C41="Oui",'Suivi Agents'!$F41&gt;0,E$4=1,E$3&lt;=Paramètres!$B$10),E41/'Suivi Agents'!$G41+E41/1000+(1000-ROW())/10000000,-1)</f>
        <v>-1</v>
      </c>
      <c r="F86" s="44">
        <f>IF(AND('Suivi Agents'!$C41="Oui",'Suivi Agents'!$F41&gt;0,F$4=1,F$3&lt;=Paramètres!$B$10),F41/'Suivi Agents'!$G41+F41/1000+(1000-ROW())/10000000,-1)</f>
        <v>-1</v>
      </c>
      <c r="G86" s="44">
        <f>IF(AND('Suivi Agents'!$C41="Oui",'Suivi Agents'!$F41&gt;0,G$4=1,G$3&lt;=Paramètres!$B$10),G41/'Suivi Agents'!$G41+G41/1000+(1000-ROW())/10000000,-1)</f>
        <v>-1</v>
      </c>
      <c r="H86" s="44">
        <f>IF(AND('Suivi Agents'!$C41="Oui",'Suivi Agents'!$F41&gt;0,H$4=1,H$3&lt;=Paramètres!$B$10),H41/'Suivi Agents'!$G41+H41/1000+(1000-ROW())/10000000,-1)</f>
        <v>-1</v>
      </c>
      <c r="I86" s="44">
        <f>IF(AND('Suivi Agents'!$C41="Oui",'Suivi Agents'!$F41&gt;0,I$4=1,I$3&lt;=Paramètres!$B$10),I41/'Suivi Agents'!$G41+I41/1000+(1000-ROW())/10000000,-1)</f>
        <v>-1</v>
      </c>
      <c r="J86" s="44">
        <f>IF(AND('Suivi Agents'!$C41="Oui",'Suivi Agents'!$F41&gt;0,J$4=1,J$3&lt;=Paramètres!$B$10),J41/'Suivi Agents'!$G41+J41/1000+(1000-ROW())/10000000,-1)</f>
        <v>-1</v>
      </c>
      <c r="K86" s="44">
        <f>IF(AND('Suivi Agents'!$C41="Oui",'Suivi Agents'!$F41&gt;0,K$4=1,K$3&lt;=Paramètres!$B$10),K41/'Suivi Agents'!$G41+K41/1000+(1000-ROW())/10000000,-1)</f>
        <v>-1</v>
      </c>
      <c r="L86" s="44">
        <f>IF(AND('Suivi Agents'!$C41="Oui",'Suivi Agents'!$F41&gt;0,L$4=1,L$3&lt;=Paramètres!$B$10),L41/'Suivi Agents'!$G41+L41/1000+(1000-ROW())/10000000,-1)</f>
        <v>-1</v>
      </c>
      <c r="M86" s="44">
        <f>IF(AND('Suivi Agents'!$C41="Oui",'Suivi Agents'!$F41&gt;0,M$4=1,M$3&lt;=Paramètres!$B$10),M41/'Suivi Agents'!$G41+M41/1000+(1000-ROW())/10000000,-1)</f>
        <v>-1</v>
      </c>
      <c r="N86" s="44">
        <f>IF(AND('Suivi Agents'!$C41="Oui",'Suivi Agents'!$F41&gt;0,N$4=1,N$3&lt;=Paramètres!$B$10),N41/'Suivi Agents'!$G41+N41/1000+(1000-ROW())/10000000,-1)</f>
        <v>-1</v>
      </c>
      <c r="O86" s="44">
        <f>IF(AND('Suivi Agents'!$C41="Oui",'Suivi Agents'!$F41&gt;0,O$4=1,O$3&lt;=Paramètres!$B$10),O41/'Suivi Agents'!$G41+O41/1000+(1000-ROW())/10000000,-1)</f>
        <v>-1</v>
      </c>
      <c r="P86" s="44">
        <f>IF(AND('Suivi Agents'!$C41="Oui",'Suivi Agents'!$F41&gt;0,P$4=1,P$3&lt;=Paramètres!$B$10),P41/'Suivi Agents'!$G41+P41/1000+(1000-ROW())/10000000,-1)</f>
        <v>-1</v>
      </c>
      <c r="Q86" s="44">
        <f>IF(AND('Suivi Agents'!$C41="Oui",'Suivi Agents'!$F41&gt;0,Q$4=1,Q$3&lt;=Paramètres!$B$10),Q41/'Suivi Agents'!$G41+Q41/1000+(1000-ROW())/10000000,-1)</f>
        <v>-1</v>
      </c>
      <c r="R86" s="44">
        <f>IF(AND('Suivi Agents'!$C41="Oui",'Suivi Agents'!$F41&gt;0,R$4=1,R$3&lt;=Paramètres!$B$10),R41/'Suivi Agents'!$G41+R41/1000+(1000-ROW())/10000000,-1)</f>
        <v>-1</v>
      </c>
      <c r="S86" s="44">
        <f>IF(AND('Suivi Agents'!$C41="Oui",'Suivi Agents'!$F41&gt;0,S$4=1,S$3&lt;=Paramètres!$B$10),S41/'Suivi Agents'!$G41+S41/1000+(1000-ROW())/10000000,-1)</f>
        <v>-1</v>
      </c>
      <c r="T86" s="44">
        <f>IF(AND('Suivi Agents'!$C41="Oui",'Suivi Agents'!$F41&gt;0,T$4=1,T$3&lt;=Paramètres!$B$10),T41/'Suivi Agents'!$G41+T41/1000+(1000-ROW())/10000000,-1)</f>
        <v>-1</v>
      </c>
      <c r="U86" s="44">
        <f>IF(AND('Suivi Agents'!$C41="Oui",'Suivi Agents'!$F41&gt;0,U$4=1,U$3&lt;=Paramètres!$B$10),U41/'Suivi Agents'!$G41+U41/1000+(1000-ROW())/10000000,-1)</f>
        <v>-1</v>
      </c>
      <c r="V86" s="44">
        <f>IF(AND('Suivi Agents'!$C41="Oui",'Suivi Agents'!$F41&gt;0,V$4=1,V$3&lt;=Paramètres!$B$10),V41/'Suivi Agents'!$G41+V41/1000+(1000-ROW())/10000000,-1)</f>
        <v>-1</v>
      </c>
      <c r="W86" s="44">
        <f>IF(AND('Suivi Agents'!$C41="Oui",'Suivi Agents'!$F41&gt;0,W$4=1,W$3&lt;=Paramètres!$B$10),W41/'Suivi Agents'!$G41+W41/1000+(1000-ROW())/10000000,-1)</f>
        <v>-1</v>
      </c>
      <c r="X86" s="44">
        <f>IF(AND('Suivi Agents'!$C41="Oui",'Suivi Agents'!$F41&gt;0,X$4=1,X$3&lt;=Paramètres!$B$10),X41/'Suivi Agents'!$G41+X41/1000+(1000-ROW())/10000000,-1)</f>
        <v>-1</v>
      </c>
      <c r="Y86" s="44">
        <f>IF(AND('Suivi Agents'!$C41="Oui",'Suivi Agents'!$F41&gt;0,Y$4=1,Y$3&lt;=Paramètres!$B$10),Y41/'Suivi Agents'!$G41+Y41/1000+(1000-ROW())/10000000,-1)</f>
        <v>-1</v>
      </c>
      <c r="Z86" s="44">
        <f>IF(AND('Suivi Agents'!$C41="Oui",'Suivi Agents'!$F41&gt;0,Z$4=1,Z$3&lt;=Paramètres!$B$10),Z41/'Suivi Agents'!$G41+Z41/1000+(1000-ROW())/10000000,-1)</f>
        <v>-1</v>
      </c>
      <c r="AA86" s="44">
        <f>IF(AND('Suivi Agents'!$C41="Oui",'Suivi Agents'!$F41&gt;0,AA$4=1,AA$3&lt;=Paramètres!$B$10),AA41/'Suivi Agents'!$G41+AA41/1000+(1000-ROW())/10000000,-1)</f>
        <v>-1</v>
      </c>
      <c r="AB86" s="44">
        <f>IF(AND('Suivi Agents'!$C41="Oui",'Suivi Agents'!$F41&gt;0,AB$4=1,AB$3&lt;=Paramètres!$B$10),AB41/'Suivi Agents'!$G41+AB41/1000+(1000-ROW())/10000000,-1)</f>
        <v>-1</v>
      </c>
      <c r="AC86" s="44">
        <f>IF(AND('Suivi Agents'!$C41="Oui",'Suivi Agents'!$F41&gt;0,AC$4=1,AC$3&lt;=Paramètres!$B$10),AC41/'Suivi Agents'!$G41+AC41/1000+(1000-ROW())/10000000,-1)</f>
        <v>-1</v>
      </c>
      <c r="AD86" s="44">
        <f>IF(AND('Suivi Agents'!$C41="Oui",'Suivi Agents'!$F41&gt;0,AD$4=1,AD$3&lt;=Paramètres!$B$10),AD41/'Suivi Agents'!$G41+AD41/1000+(1000-ROW())/10000000,-1)</f>
        <v>-1</v>
      </c>
      <c r="AE86" s="44">
        <f>IF(AND('Suivi Agents'!$C41="Oui",'Suivi Agents'!$F41&gt;0,AE$4=1,AE$3&lt;=Paramètres!$B$10),AE41/'Suivi Agents'!$G41+AE41/1000+(1000-ROW())/10000000,-1)</f>
        <v>-1</v>
      </c>
      <c r="AF86" s="44">
        <f>IF(AND('Suivi Agents'!$C41="Oui",'Suivi Agents'!$F41&gt;0,AF$4=1,AF$3&lt;=Paramètres!$B$10),AF41/'Suivi Agents'!$G41+AF41/1000+(1000-ROW())/10000000,-1)</f>
        <v>-1</v>
      </c>
      <c r="AG86" s="44">
        <f>IF(AND('Suivi Agents'!$C41="Oui",'Suivi Agents'!$F41&gt;0,AG$4=1,AG$3&lt;=Paramètres!$B$10),AG41/'Suivi Agents'!$G41+AG41/1000+(1000-ROW())/10000000,-1)</f>
        <v>-1</v>
      </c>
      <c r="AH86" s="44">
        <f>IF(AND('Suivi Agents'!$C41="Oui",'Suivi Agents'!$F41&gt;0,AH$4=1,AH$3&lt;=Paramètres!$B$10),AH41/'Suivi Agents'!$G41+AH41/1000+(1000-ROW())/10000000,-1)</f>
        <v>-1</v>
      </c>
    </row>
    <row r="87" spans="1:34" x14ac:dyDescent="0.45">
      <c r="A87" s="8" t="str">
        <f t="shared" si="1"/>
        <v>CONCORDE</v>
      </c>
      <c r="B87" s="8" t="str">
        <f t="shared" si="1"/>
        <v>pms_rgz_abijou.ftth</v>
      </c>
      <c r="D87" s="44">
        <f>IF(AND('Suivi Agents'!$C42="Oui",'Suivi Agents'!$F42&gt;0,D$4=1,D$3&lt;=Paramètres!$B$10),D42/'Suivi Agents'!$G42+D42/1000+(1000-ROW())/10000000,-1)</f>
        <v>9.1299999999999997E-5</v>
      </c>
      <c r="E87" s="44">
        <f>IF(AND('Suivi Agents'!$C42="Oui",'Suivi Agents'!$F42&gt;0,E$4=1,E$3&lt;=Paramètres!$B$10),E42/'Suivi Agents'!$G42+E42/1000+(1000-ROW())/10000000,-1)</f>
        <v>-1</v>
      </c>
      <c r="F87" s="44">
        <f>IF(AND('Suivi Agents'!$C42="Oui",'Suivi Agents'!$F42&gt;0,F$4=1,F$3&lt;=Paramètres!$B$10),F42/'Suivi Agents'!$G42+F42/1000+(1000-ROW())/10000000,-1)</f>
        <v>-1</v>
      </c>
      <c r="G87" s="44">
        <f>IF(AND('Suivi Agents'!$C42="Oui",'Suivi Agents'!$F42&gt;0,G$4=1,G$3&lt;=Paramètres!$B$10),G42/'Suivi Agents'!$G42+G42/1000+(1000-ROW())/10000000,-1)</f>
        <v>-1</v>
      </c>
      <c r="H87" s="44">
        <f>IF(AND('Suivi Agents'!$C42="Oui",'Suivi Agents'!$F42&gt;0,H$4=1,H$3&lt;=Paramètres!$B$10),H42/'Suivi Agents'!$G42+H42/1000+(1000-ROW())/10000000,-1)</f>
        <v>-1</v>
      </c>
      <c r="I87" s="44">
        <f>IF(AND('Suivi Agents'!$C42="Oui",'Suivi Agents'!$F42&gt;0,I$4=1,I$3&lt;=Paramètres!$B$10),I42/'Suivi Agents'!$G42+I42/1000+(1000-ROW())/10000000,-1)</f>
        <v>-1</v>
      </c>
      <c r="J87" s="44">
        <f>IF(AND('Suivi Agents'!$C42="Oui",'Suivi Agents'!$F42&gt;0,J$4=1,J$3&lt;=Paramètres!$B$10),J42/'Suivi Agents'!$G42+J42/1000+(1000-ROW())/10000000,-1)</f>
        <v>-1</v>
      </c>
      <c r="K87" s="44">
        <f>IF(AND('Suivi Agents'!$C42="Oui",'Suivi Agents'!$F42&gt;0,K$4=1,K$3&lt;=Paramètres!$B$10),K42/'Suivi Agents'!$G42+K42/1000+(1000-ROW())/10000000,-1)</f>
        <v>-1</v>
      </c>
      <c r="L87" s="44">
        <f>IF(AND('Suivi Agents'!$C42="Oui",'Suivi Agents'!$F42&gt;0,L$4=1,L$3&lt;=Paramètres!$B$10),L42/'Suivi Agents'!$G42+L42/1000+(1000-ROW())/10000000,-1)</f>
        <v>-1</v>
      </c>
      <c r="M87" s="44">
        <f>IF(AND('Suivi Agents'!$C42="Oui",'Suivi Agents'!$F42&gt;0,M$4=1,M$3&lt;=Paramètres!$B$10),M42/'Suivi Agents'!$G42+M42/1000+(1000-ROW())/10000000,-1)</f>
        <v>-1</v>
      </c>
      <c r="N87" s="44">
        <f>IF(AND('Suivi Agents'!$C42="Oui",'Suivi Agents'!$F42&gt;0,N$4=1,N$3&lt;=Paramètres!$B$10),N42/'Suivi Agents'!$G42+N42/1000+(1000-ROW())/10000000,-1)</f>
        <v>-1</v>
      </c>
      <c r="O87" s="44">
        <f>IF(AND('Suivi Agents'!$C42="Oui",'Suivi Agents'!$F42&gt;0,O$4=1,O$3&lt;=Paramètres!$B$10),O42/'Suivi Agents'!$G42+O42/1000+(1000-ROW())/10000000,-1)</f>
        <v>-1</v>
      </c>
      <c r="P87" s="44">
        <f>IF(AND('Suivi Agents'!$C42="Oui",'Suivi Agents'!$F42&gt;0,P$4=1,P$3&lt;=Paramètres!$B$10),P42/'Suivi Agents'!$G42+P42/1000+(1000-ROW())/10000000,-1)</f>
        <v>-1</v>
      </c>
      <c r="Q87" s="44">
        <f>IF(AND('Suivi Agents'!$C42="Oui",'Suivi Agents'!$F42&gt;0,Q$4=1,Q$3&lt;=Paramètres!$B$10),Q42/'Suivi Agents'!$G42+Q42/1000+(1000-ROW())/10000000,-1)</f>
        <v>-1</v>
      </c>
      <c r="R87" s="44">
        <f>IF(AND('Suivi Agents'!$C42="Oui",'Suivi Agents'!$F42&gt;0,R$4=1,R$3&lt;=Paramètres!$B$10),R42/'Suivi Agents'!$G42+R42/1000+(1000-ROW())/10000000,-1)</f>
        <v>-1</v>
      </c>
      <c r="S87" s="44">
        <f>IF(AND('Suivi Agents'!$C42="Oui",'Suivi Agents'!$F42&gt;0,S$4=1,S$3&lt;=Paramètres!$B$10),S42/'Suivi Agents'!$G42+S42/1000+(1000-ROW())/10000000,-1)</f>
        <v>-1</v>
      </c>
      <c r="T87" s="44">
        <f>IF(AND('Suivi Agents'!$C42="Oui",'Suivi Agents'!$F42&gt;0,T$4=1,T$3&lt;=Paramètres!$B$10),T42/'Suivi Agents'!$G42+T42/1000+(1000-ROW())/10000000,-1)</f>
        <v>-1</v>
      </c>
      <c r="U87" s="44">
        <f>IF(AND('Suivi Agents'!$C42="Oui",'Suivi Agents'!$F42&gt;0,U$4=1,U$3&lt;=Paramètres!$B$10),U42/'Suivi Agents'!$G42+U42/1000+(1000-ROW())/10000000,-1)</f>
        <v>-1</v>
      </c>
      <c r="V87" s="44">
        <f>IF(AND('Suivi Agents'!$C42="Oui",'Suivi Agents'!$F42&gt;0,V$4=1,V$3&lt;=Paramètres!$B$10),V42/'Suivi Agents'!$G42+V42/1000+(1000-ROW())/10000000,-1)</f>
        <v>-1</v>
      </c>
      <c r="W87" s="44">
        <f>IF(AND('Suivi Agents'!$C42="Oui",'Suivi Agents'!$F42&gt;0,W$4=1,W$3&lt;=Paramètres!$B$10),W42/'Suivi Agents'!$G42+W42/1000+(1000-ROW())/10000000,-1)</f>
        <v>-1</v>
      </c>
      <c r="X87" s="44">
        <f>IF(AND('Suivi Agents'!$C42="Oui",'Suivi Agents'!$F42&gt;0,X$4=1,X$3&lt;=Paramètres!$B$10),X42/'Suivi Agents'!$G42+X42/1000+(1000-ROW())/10000000,-1)</f>
        <v>-1</v>
      </c>
      <c r="Y87" s="44">
        <f>IF(AND('Suivi Agents'!$C42="Oui",'Suivi Agents'!$F42&gt;0,Y$4=1,Y$3&lt;=Paramètres!$B$10),Y42/'Suivi Agents'!$G42+Y42/1000+(1000-ROW())/10000000,-1)</f>
        <v>-1</v>
      </c>
      <c r="Z87" s="44">
        <f>IF(AND('Suivi Agents'!$C42="Oui",'Suivi Agents'!$F42&gt;0,Z$4=1,Z$3&lt;=Paramètres!$B$10),Z42/'Suivi Agents'!$G42+Z42/1000+(1000-ROW())/10000000,-1)</f>
        <v>-1</v>
      </c>
      <c r="AA87" s="44">
        <f>IF(AND('Suivi Agents'!$C42="Oui",'Suivi Agents'!$F42&gt;0,AA$4=1,AA$3&lt;=Paramètres!$B$10),AA42/'Suivi Agents'!$G42+AA42/1000+(1000-ROW())/10000000,-1)</f>
        <v>-1</v>
      </c>
      <c r="AB87" s="44">
        <f>IF(AND('Suivi Agents'!$C42="Oui",'Suivi Agents'!$F42&gt;0,AB$4=1,AB$3&lt;=Paramètres!$B$10),AB42/'Suivi Agents'!$G42+AB42/1000+(1000-ROW())/10000000,-1)</f>
        <v>-1</v>
      </c>
      <c r="AC87" s="44">
        <f>IF(AND('Suivi Agents'!$C42="Oui",'Suivi Agents'!$F42&gt;0,AC$4=1,AC$3&lt;=Paramètres!$B$10),AC42/'Suivi Agents'!$G42+AC42/1000+(1000-ROW())/10000000,-1)</f>
        <v>-1</v>
      </c>
      <c r="AD87" s="44">
        <f>IF(AND('Suivi Agents'!$C42="Oui",'Suivi Agents'!$F42&gt;0,AD$4=1,AD$3&lt;=Paramètres!$B$10),AD42/'Suivi Agents'!$G42+AD42/1000+(1000-ROW())/10000000,-1)</f>
        <v>-1</v>
      </c>
      <c r="AE87" s="44">
        <f>IF(AND('Suivi Agents'!$C42="Oui",'Suivi Agents'!$F42&gt;0,AE$4=1,AE$3&lt;=Paramètres!$B$10),AE42/'Suivi Agents'!$G42+AE42/1000+(1000-ROW())/10000000,-1)</f>
        <v>-1</v>
      </c>
      <c r="AF87" s="44">
        <f>IF(AND('Suivi Agents'!$C42="Oui",'Suivi Agents'!$F42&gt;0,AF$4=1,AF$3&lt;=Paramètres!$B$10),AF42/'Suivi Agents'!$G42+AF42/1000+(1000-ROW())/10000000,-1)</f>
        <v>-1</v>
      </c>
      <c r="AG87" s="44">
        <f>IF(AND('Suivi Agents'!$C42="Oui",'Suivi Agents'!$F42&gt;0,AG$4=1,AG$3&lt;=Paramètres!$B$10),AG42/'Suivi Agents'!$G42+AG42/1000+(1000-ROW())/10000000,-1)</f>
        <v>-1</v>
      </c>
      <c r="AH87" s="44">
        <f>IF(AND('Suivi Agents'!$C42="Oui",'Suivi Agents'!$F42&gt;0,AH$4=1,AH$3&lt;=Paramètres!$B$10),AH42/'Suivi Agents'!$G42+AH42/1000+(1000-ROW())/10000000,-1)</f>
        <v>-1</v>
      </c>
    </row>
    <row r="88" spans="1:34" x14ac:dyDescent="0.45">
      <c r="A88" s="8" t="str">
        <f t="shared" si="1"/>
        <v>CONCORDE</v>
      </c>
      <c r="B88" s="8" t="str">
        <f t="shared" si="1"/>
        <v>pms_rgz_svictor.ftth</v>
      </c>
      <c r="D88" s="44">
        <f>IF(AND('Suivi Agents'!$C43="Oui",'Suivi Agents'!$F43&gt;0,D$4=1,D$3&lt;=Paramètres!$B$10),D43/'Suivi Agents'!$G43+D43/1000+(1000-ROW())/10000000,-1)</f>
        <v>9.1199999999999994E-5</v>
      </c>
      <c r="E88" s="44">
        <f>IF(AND('Suivi Agents'!$C43="Oui",'Suivi Agents'!$F43&gt;0,E$4=1,E$3&lt;=Paramètres!$B$10),E43/'Suivi Agents'!$G43+E43/1000+(1000-ROW())/10000000,-1)</f>
        <v>-1</v>
      </c>
      <c r="F88" s="44">
        <f>IF(AND('Suivi Agents'!$C43="Oui",'Suivi Agents'!$F43&gt;0,F$4=1,F$3&lt;=Paramètres!$B$10),F43/'Suivi Agents'!$G43+F43/1000+(1000-ROW())/10000000,-1)</f>
        <v>-1</v>
      </c>
      <c r="G88" s="44">
        <f>IF(AND('Suivi Agents'!$C43="Oui",'Suivi Agents'!$F43&gt;0,G$4=1,G$3&lt;=Paramètres!$B$10),G43/'Suivi Agents'!$G43+G43/1000+(1000-ROW())/10000000,-1)</f>
        <v>-1</v>
      </c>
      <c r="H88" s="44">
        <f>IF(AND('Suivi Agents'!$C43="Oui",'Suivi Agents'!$F43&gt;0,H$4=1,H$3&lt;=Paramètres!$B$10),H43/'Suivi Agents'!$G43+H43/1000+(1000-ROW())/10000000,-1)</f>
        <v>-1</v>
      </c>
      <c r="I88" s="44">
        <f>IF(AND('Suivi Agents'!$C43="Oui",'Suivi Agents'!$F43&gt;0,I$4=1,I$3&lt;=Paramètres!$B$10),I43/'Suivi Agents'!$G43+I43/1000+(1000-ROW())/10000000,-1)</f>
        <v>-1</v>
      </c>
      <c r="J88" s="44">
        <f>IF(AND('Suivi Agents'!$C43="Oui",'Suivi Agents'!$F43&gt;0,J$4=1,J$3&lt;=Paramètres!$B$10),J43/'Suivi Agents'!$G43+J43/1000+(1000-ROW())/10000000,-1)</f>
        <v>-1</v>
      </c>
      <c r="K88" s="44">
        <f>IF(AND('Suivi Agents'!$C43="Oui",'Suivi Agents'!$F43&gt;0,K$4=1,K$3&lt;=Paramètres!$B$10),K43/'Suivi Agents'!$G43+K43/1000+(1000-ROW())/10000000,-1)</f>
        <v>-1</v>
      </c>
      <c r="L88" s="44">
        <f>IF(AND('Suivi Agents'!$C43="Oui",'Suivi Agents'!$F43&gt;0,L$4=1,L$3&lt;=Paramètres!$B$10),L43/'Suivi Agents'!$G43+L43/1000+(1000-ROW())/10000000,-1)</f>
        <v>-1</v>
      </c>
      <c r="M88" s="44">
        <f>IF(AND('Suivi Agents'!$C43="Oui",'Suivi Agents'!$F43&gt;0,M$4=1,M$3&lt;=Paramètres!$B$10),M43/'Suivi Agents'!$G43+M43/1000+(1000-ROW())/10000000,-1)</f>
        <v>-1</v>
      </c>
      <c r="N88" s="44">
        <f>IF(AND('Suivi Agents'!$C43="Oui",'Suivi Agents'!$F43&gt;0,N$4=1,N$3&lt;=Paramètres!$B$10),N43/'Suivi Agents'!$G43+N43/1000+(1000-ROW())/10000000,-1)</f>
        <v>-1</v>
      </c>
      <c r="O88" s="44">
        <f>IF(AND('Suivi Agents'!$C43="Oui",'Suivi Agents'!$F43&gt;0,O$4=1,O$3&lt;=Paramètres!$B$10),O43/'Suivi Agents'!$G43+O43/1000+(1000-ROW())/10000000,-1)</f>
        <v>-1</v>
      </c>
      <c r="P88" s="44">
        <f>IF(AND('Suivi Agents'!$C43="Oui",'Suivi Agents'!$F43&gt;0,P$4=1,P$3&lt;=Paramètres!$B$10),P43/'Suivi Agents'!$G43+P43/1000+(1000-ROW())/10000000,-1)</f>
        <v>-1</v>
      </c>
      <c r="Q88" s="44">
        <f>IF(AND('Suivi Agents'!$C43="Oui",'Suivi Agents'!$F43&gt;0,Q$4=1,Q$3&lt;=Paramètres!$B$10),Q43/'Suivi Agents'!$G43+Q43/1000+(1000-ROW())/10000000,-1)</f>
        <v>-1</v>
      </c>
      <c r="R88" s="44">
        <f>IF(AND('Suivi Agents'!$C43="Oui",'Suivi Agents'!$F43&gt;0,R$4=1,R$3&lt;=Paramètres!$B$10),R43/'Suivi Agents'!$G43+R43/1000+(1000-ROW())/10000000,-1)</f>
        <v>-1</v>
      </c>
      <c r="S88" s="44">
        <f>IF(AND('Suivi Agents'!$C43="Oui",'Suivi Agents'!$F43&gt;0,S$4=1,S$3&lt;=Paramètres!$B$10),S43/'Suivi Agents'!$G43+S43/1000+(1000-ROW())/10000000,-1)</f>
        <v>-1</v>
      </c>
      <c r="T88" s="44">
        <f>IF(AND('Suivi Agents'!$C43="Oui",'Suivi Agents'!$F43&gt;0,T$4=1,T$3&lt;=Paramètres!$B$10),T43/'Suivi Agents'!$G43+T43/1000+(1000-ROW())/10000000,-1)</f>
        <v>-1</v>
      </c>
      <c r="U88" s="44">
        <f>IF(AND('Suivi Agents'!$C43="Oui",'Suivi Agents'!$F43&gt;0,U$4=1,U$3&lt;=Paramètres!$B$10),U43/'Suivi Agents'!$G43+U43/1000+(1000-ROW())/10000000,-1)</f>
        <v>-1</v>
      </c>
      <c r="V88" s="44">
        <f>IF(AND('Suivi Agents'!$C43="Oui",'Suivi Agents'!$F43&gt;0,V$4=1,V$3&lt;=Paramètres!$B$10),V43/'Suivi Agents'!$G43+V43/1000+(1000-ROW())/10000000,-1)</f>
        <v>-1</v>
      </c>
      <c r="W88" s="44">
        <f>IF(AND('Suivi Agents'!$C43="Oui",'Suivi Agents'!$F43&gt;0,W$4=1,W$3&lt;=Paramètres!$B$10),W43/'Suivi Agents'!$G43+W43/1000+(1000-ROW())/10000000,-1)</f>
        <v>-1</v>
      </c>
      <c r="X88" s="44">
        <f>IF(AND('Suivi Agents'!$C43="Oui",'Suivi Agents'!$F43&gt;0,X$4=1,X$3&lt;=Paramètres!$B$10),X43/'Suivi Agents'!$G43+X43/1000+(1000-ROW())/10000000,-1)</f>
        <v>-1</v>
      </c>
      <c r="Y88" s="44">
        <f>IF(AND('Suivi Agents'!$C43="Oui",'Suivi Agents'!$F43&gt;0,Y$4=1,Y$3&lt;=Paramètres!$B$10),Y43/'Suivi Agents'!$G43+Y43/1000+(1000-ROW())/10000000,-1)</f>
        <v>-1</v>
      </c>
      <c r="Z88" s="44">
        <f>IF(AND('Suivi Agents'!$C43="Oui",'Suivi Agents'!$F43&gt;0,Z$4=1,Z$3&lt;=Paramètres!$B$10),Z43/'Suivi Agents'!$G43+Z43/1000+(1000-ROW())/10000000,-1)</f>
        <v>-1</v>
      </c>
      <c r="AA88" s="44">
        <f>IF(AND('Suivi Agents'!$C43="Oui",'Suivi Agents'!$F43&gt;0,AA$4=1,AA$3&lt;=Paramètres!$B$10),AA43/'Suivi Agents'!$G43+AA43/1000+(1000-ROW())/10000000,-1)</f>
        <v>-1</v>
      </c>
      <c r="AB88" s="44">
        <f>IF(AND('Suivi Agents'!$C43="Oui",'Suivi Agents'!$F43&gt;0,AB$4=1,AB$3&lt;=Paramètres!$B$10),AB43/'Suivi Agents'!$G43+AB43/1000+(1000-ROW())/10000000,-1)</f>
        <v>-1</v>
      </c>
      <c r="AC88" s="44">
        <f>IF(AND('Suivi Agents'!$C43="Oui",'Suivi Agents'!$F43&gt;0,AC$4=1,AC$3&lt;=Paramètres!$B$10),AC43/'Suivi Agents'!$G43+AC43/1000+(1000-ROW())/10000000,-1)</f>
        <v>-1</v>
      </c>
      <c r="AD88" s="44">
        <f>IF(AND('Suivi Agents'!$C43="Oui",'Suivi Agents'!$F43&gt;0,AD$4=1,AD$3&lt;=Paramètres!$B$10),AD43/'Suivi Agents'!$G43+AD43/1000+(1000-ROW())/10000000,-1)</f>
        <v>-1</v>
      </c>
      <c r="AE88" s="44">
        <f>IF(AND('Suivi Agents'!$C43="Oui",'Suivi Agents'!$F43&gt;0,AE$4=1,AE$3&lt;=Paramètres!$B$10),AE43/'Suivi Agents'!$G43+AE43/1000+(1000-ROW())/10000000,-1)</f>
        <v>-1</v>
      </c>
      <c r="AF88" s="44">
        <f>IF(AND('Suivi Agents'!$C43="Oui",'Suivi Agents'!$F43&gt;0,AF$4=1,AF$3&lt;=Paramètres!$B$10),AF43/'Suivi Agents'!$G43+AF43/1000+(1000-ROW())/10000000,-1)</f>
        <v>-1</v>
      </c>
      <c r="AG88" s="44">
        <f>IF(AND('Suivi Agents'!$C43="Oui",'Suivi Agents'!$F43&gt;0,AG$4=1,AG$3&lt;=Paramètres!$B$10),AG43/'Suivi Agents'!$G43+AG43/1000+(1000-ROW())/10000000,-1)</f>
        <v>-1</v>
      </c>
      <c r="AH88" s="44">
        <f>IF(AND('Suivi Agents'!$C43="Oui",'Suivi Agents'!$F43&gt;0,AH$4=1,AH$3&lt;=Paramètres!$B$10),AH43/'Suivi Agents'!$G43+AH43/1000+(1000-ROW())/10000000,-1)</f>
        <v>-1</v>
      </c>
    </row>
    <row r="89" spans="1:34" x14ac:dyDescent="0.45">
      <c r="A89" s="8" t="str">
        <f t="shared" si="1"/>
        <v>BRAVO</v>
      </c>
      <c r="B89" s="8" t="str">
        <f t="shared" si="1"/>
        <v>pvt_rgz_afaoziath.ftth</v>
      </c>
      <c r="D89" s="44">
        <f>IF(AND('Suivi Agents'!$C44="Oui",'Suivi Agents'!$F44&gt;0,D$4=1,D$3&lt;=Paramètres!$B$10),D44/'Suivi Agents'!$G44+D44/1000+(1000-ROW())/10000000,-1)</f>
        <v>9.1100000000000005E-5</v>
      </c>
      <c r="E89" s="44">
        <f>IF(AND('Suivi Agents'!$C44="Oui",'Suivi Agents'!$F44&gt;0,E$4=1,E$3&lt;=Paramètres!$B$10),E44/'Suivi Agents'!$G44+E44/1000+(1000-ROW())/10000000,-1)</f>
        <v>-1</v>
      </c>
      <c r="F89" s="44">
        <f>IF(AND('Suivi Agents'!$C44="Oui",'Suivi Agents'!$F44&gt;0,F$4=1,F$3&lt;=Paramètres!$B$10),F44/'Suivi Agents'!$G44+F44/1000+(1000-ROW())/10000000,-1)</f>
        <v>-1</v>
      </c>
      <c r="G89" s="44">
        <f>IF(AND('Suivi Agents'!$C44="Oui",'Suivi Agents'!$F44&gt;0,G$4=1,G$3&lt;=Paramètres!$B$10),G44/'Suivi Agents'!$G44+G44/1000+(1000-ROW())/10000000,-1)</f>
        <v>-1</v>
      </c>
      <c r="H89" s="44">
        <f>IF(AND('Suivi Agents'!$C44="Oui",'Suivi Agents'!$F44&gt;0,H$4=1,H$3&lt;=Paramètres!$B$10),H44/'Suivi Agents'!$G44+H44/1000+(1000-ROW())/10000000,-1)</f>
        <v>-1</v>
      </c>
      <c r="I89" s="44">
        <f>IF(AND('Suivi Agents'!$C44="Oui",'Suivi Agents'!$F44&gt;0,I$4=1,I$3&lt;=Paramètres!$B$10),I44/'Suivi Agents'!$G44+I44/1000+(1000-ROW())/10000000,-1)</f>
        <v>-1</v>
      </c>
      <c r="J89" s="44">
        <f>IF(AND('Suivi Agents'!$C44="Oui",'Suivi Agents'!$F44&gt;0,J$4=1,J$3&lt;=Paramètres!$B$10),J44/'Suivi Agents'!$G44+J44/1000+(1000-ROW())/10000000,-1)</f>
        <v>-1</v>
      </c>
      <c r="K89" s="44">
        <f>IF(AND('Suivi Agents'!$C44="Oui",'Suivi Agents'!$F44&gt;0,K$4=1,K$3&lt;=Paramètres!$B$10),K44/'Suivi Agents'!$G44+K44/1000+(1000-ROW())/10000000,-1)</f>
        <v>-1</v>
      </c>
      <c r="L89" s="44">
        <f>IF(AND('Suivi Agents'!$C44="Oui",'Suivi Agents'!$F44&gt;0,L$4=1,L$3&lt;=Paramètres!$B$10),L44/'Suivi Agents'!$G44+L44/1000+(1000-ROW())/10000000,-1)</f>
        <v>-1</v>
      </c>
      <c r="M89" s="44">
        <f>IF(AND('Suivi Agents'!$C44="Oui",'Suivi Agents'!$F44&gt;0,M$4=1,M$3&lt;=Paramètres!$B$10),M44/'Suivi Agents'!$G44+M44/1000+(1000-ROW())/10000000,-1)</f>
        <v>-1</v>
      </c>
      <c r="N89" s="44">
        <f>IF(AND('Suivi Agents'!$C44="Oui",'Suivi Agents'!$F44&gt;0,N$4=1,N$3&lt;=Paramètres!$B$10),N44/'Suivi Agents'!$G44+N44/1000+(1000-ROW())/10000000,-1)</f>
        <v>-1</v>
      </c>
      <c r="O89" s="44">
        <f>IF(AND('Suivi Agents'!$C44="Oui",'Suivi Agents'!$F44&gt;0,O$4=1,O$3&lt;=Paramètres!$B$10),O44/'Suivi Agents'!$G44+O44/1000+(1000-ROW())/10000000,-1)</f>
        <v>-1</v>
      </c>
      <c r="P89" s="44">
        <f>IF(AND('Suivi Agents'!$C44="Oui",'Suivi Agents'!$F44&gt;0,P$4=1,P$3&lt;=Paramètres!$B$10),P44/'Suivi Agents'!$G44+P44/1000+(1000-ROW())/10000000,-1)</f>
        <v>-1</v>
      </c>
      <c r="Q89" s="44">
        <f>IF(AND('Suivi Agents'!$C44="Oui",'Suivi Agents'!$F44&gt;0,Q$4=1,Q$3&lt;=Paramètres!$B$10),Q44/'Suivi Agents'!$G44+Q44/1000+(1000-ROW())/10000000,-1)</f>
        <v>-1</v>
      </c>
      <c r="R89" s="44">
        <f>IF(AND('Suivi Agents'!$C44="Oui",'Suivi Agents'!$F44&gt;0,R$4=1,R$3&lt;=Paramètres!$B$10),R44/'Suivi Agents'!$G44+R44/1000+(1000-ROW())/10000000,-1)</f>
        <v>-1</v>
      </c>
      <c r="S89" s="44">
        <f>IF(AND('Suivi Agents'!$C44="Oui",'Suivi Agents'!$F44&gt;0,S$4=1,S$3&lt;=Paramètres!$B$10),S44/'Suivi Agents'!$G44+S44/1000+(1000-ROW())/10000000,-1)</f>
        <v>-1</v>
      </c>
      <c r="T89" s="44">
        <f>IF(AND('Suivi Agents'!$C44="Oui",'Suivi Agents'!$F44&gt;0,T$4=1,T$3&lt;=Paramètres!$B$10),T44/'Suivi Agents'!$G44+T44/1000+(1000-ROW())/10000000,-1)</f>
        <v>-1</v>
      </c>
      <c r="U89" s="44">
        <f>IF(AND('Suivi Agents'!$C44="Oui",'Suivi Agents'!$F44&gt;0,U$4=1,U$3&lt;=Paramètres!$B$10),U44/'Suivi Agents'!$G44+U44/1000+(1000-ROW())/10000000,-1)</f>
        <v>-1</v>
      </c>
      <c r="V89" s="44">
        <f>IF(AND('Suivi Agents'!$C44="Oui",'Suivi Agents'!$F44&gt;0,V$4=1,V$3&lt;=Paramètres!$B$10),V44/'Suivi Agents'!$G44+V44/1000+(1000-ROW())/10000000,-1)</f>
        <v>-1</v>
      </c>
      <c r="W89" s="44">
        <f>IF(AND('Suivi Agents'!$C44="Oui",'Suivi Agents'!$F44&gt;0,W$4=1,W$3&lt;=Paramètres!$B$10),W44/'Suivi Agents'!$G44+W44/1000+(1000-ROW())/10000000,-1)</f>
        <v>-1</v>
      </c>
      <c r="X89" s="44">
        <f>IF(AND('Suivi Agents'!$C44="Oui",'Suivi Agents'!$F44&gt;0,X$4=1,X$3&lt;=Paramètres!$B$10),X44/'Suivi Agents'!$G44+X44/1000+(1000-ROW())/10000000,-1)</f>
        <v>-1</v>
      </c>
      <c r="Y89" s="44">
        <f>IF(AND('Suivi Agents'!$C44="Oui",'Suivi Agents'!$F44&gt;0,Y$4=1,Y$3&lt;=Paramètres!$B$10),Y44/'Suivi Agents'!$G44+Y44/1000+(1000-ROW())/10000000,-1)</f>
        <v>-1</v>
      </c>
      <c r="Z89" s="44">
        <f>IF(AND('Suivi Agents'!$C44="Oui",'Suivi Agents'!$F44&gt;0,Z$4=1,Z$3&lt;=Paramètres!$B$10),Z44/'Suivi Agents'!$G44+Z44/1000+(1000-ROW())/10000000,-1)</f>
        <v>-1</v>
      </c>
      <c r="AA89" s="44">
        <f>IF(AND('Suivi Agents'!$C44="Oui",'Suivi Agents'!$F44&gt;0,AA$4=1,AA$3&lt;=Paramètres!$B$10),AA44/'Suivi Agents'!$G44+AA44/1000+(1000-ROW())/10000000,-1)</f>
        <v>-1</v>
      </c>
      <c r="AB89" s="44">
        <f>IF(AND('Suivi Agents'!$C44="Oui",'Suivi Agents'!$F44&gt;0,AB$4=1,AB$3&lt;=Paramètres!$B$10),AB44/'Suivi Agents'!$G44+AB44/1000+(1000-ROW())/10000000,-1)</f>
        <v>-1</v>
      </c>
      <c r="AC89" s="44">
        <f>IF(AND('Suivi Agents'!$C44="Oui",'Suivi Agents'!$F44&gt;0,AC$4=1,AC$3&lt;=Paramètres!$B$10),AC44/'Suivi Agents'!$G44+AC44/1000+(1000-ROW())/10000000,-1)</f>
        <v>-1</v>
      </c>
      <c r="AD89" s="44">
        <f>IF(AND('Suivi Agents'!$C44="Oui",'Suivi Agents'!$F44&gt;0,AD$4=1,AD$3&lt;=Paramètres!$B$10),AD44/'Suivi Agents'!$G44+AD44/1000+(1000-ROW())/10000000,-1)</f>
        <v>-1</v>
      </c>
      <c r="AE89" s="44">
        <f>IF(AND('Suivi Agents'!$C44="Oui",'Suivi Agents'!$F44&gt;0,AE$4=1,AE$3&lt;=Paramètres!$B$10),AE44/'Suivi Agents'!$G44+AE44/1000+(1000-ROW())/10000000,-1)</f>
        <v>-1</v>
      </c>
      <c r="AF89" s="44">
        <f>IF(AND('Suivi Agents'!$C44="Oui",'Suivi Agents'!$F44&gt;0,AF$4=1,AF$3&lt;=Paramètres!$B$10),AF44/'Suivi Agents'!$G44+AF44/1000+(1000-ROW())/10000000,-1)</f>
        <v>-1</v>
      </c>
      <c r="AG89" s="44">
        <f>IF(AND('Suivi Agents'!$C44="Oui",'Suivi Agents'!$F44&gt;0,AG$4=1,AG$3&lt;=Paramètres!$B$10),AG44/'Suivi Agents'!$G44+AG44/1000+(1000-ROW())/10000000,-1)</f>
        <v>-1</v>
      </c>
      <c r="AH89" s="44">
        <f>IF(AND('Suivi Agents'!$C44="Oui",'Suivi Agents'!$F44&gt;0,AH$4=1,AH$3&lt;=Paramètres!$B$10),AH44/'Suivi Agents'!$G44+AH44/1000+(1000-ROW())/10000000,-1)</f>
        <v>-1</v>
      </c>
    </row>
    <row r="90" spans="1:34" x14ac:dyDescent="0.45">
      <c r="A90" s="8" t="str">
        <f t="shared" si="1"/>
        <v>BRAVO</v>
      </c>
      <c r="B90" s="8" t="str">
        <f t="shared" si="1"/>
        <v>pvt_rgz_lgrace.ftth</v>
      </c>
      <c r="D90" s="44">
        <f>IF(AND('Suivi Agents'!$C45="Oui",'Suivi Agents'!$F45&gt;0,D$4=1,D$3&lt;=Paramètres!$B$10),D45/'Suivi Agents'!$G45+D45/1000+(1000-ROW())/10000000,-1)</f>
        <v>9.1000000000000003E-5</v>
      </c>
      <c r="E90" s="44">
        <f>IF(AND('Suivi Agents'!$C45="Oui",'Suivi Agents'!$F45&gt;0,E$4=1,E$3&lt;=Paramètres!$B$10),E45/'Suivi Agents'!$G45+E45/1000+(1000-ROW())/10000000,-1)</f>
        <v>-1</v>
      </c>
      <c r="F90" s="44">
        <f>IF(AND('Suivi Agents'!$C45="Oui",'Suivi Agents'!$F45&gt;0,F$4=1,F$3&lt;=Paramètres!$B$10),F45/'Suivi Agents'!$G45+F45/1000+(1000-ROW())/10000000,-1)</f>
        <v>-1</v>
      </c>
      <c r="G90" s="44">
        <f>IF(AND('Suivi Agents'!$C45="Oui",'Suivi Agents'!$F45&gt;0,G$4=1,G$3&lt;=Paramètres!$B$10),G45/'Suivi Agents'!$G45+G45/1000+(1000-ROW())/10000000,-1)</f>
        <v>-1</v>
      </c>
      <c r="H90" s="44">
        <f>IF(AND('Suivi Agents'!$C45="Oui",'Suivi Agents'!$F45&gt;0,H$4=1,H$3&lt;=Paramètres!$B$10),H45/'Suivi Agents'!$G45+H45/1000+(1000-ROW())/10000000,-1)</f>
        <v>-1</v>
      </c>
      <c r="I90" s="44">
        <f>IF(AND('Suivi Agents'!$C45="Oui",'Suivi Agents'!$F45&gt;0,I$4=1,I$3&lt;=Paramètres!$B$10),I45/'Suivi Agents'!$G45+I45/1000+(1000-ROW())/10000000,-1)</f>
        <v>-1</v>
      </c>
      <c r="J90" s="44">
        <f>IF(AND('Suivi Agents'!$C45="Oui",'Suivi Agents'!$F45&gt;0,J$4=1,J$3&lt;=Paramètres!$B$10),J45/'Suivi Agents'!$G45+J45/1000+(1000-ROW())/10000000,-1)</f>
        <v>-1</v>
      </c>
      <c r="K90" s="44">
        <f>IF(AND('Suivi Agents'!$C45="Oui",'Suivi Agents'!$F45&gt;0,K$4=1,K$3&lt;=Paramètres!$B$10),K45/'Suivi Agents'!$G45+K45/1000+(1000-ROW())/10000000,-1)</f>
        <v>-1</v>
      </c>
      <c r="L90" s="44">
        <f>IF(AND('Suivi Agents'!$C45="Oui",'Suivi Agents'!$F45&gt;0,L$4=1,L$3&lt;=Paramètres!$B$10),L45/'Suivi Agents'!$G45+L45/1000+(1000-ROW())/10000000,-1)</f>
        <v>-1</v>
      </c>
      <c r="M90" s="44">
        <f>IF(AND('Suivi Agents'!$C45="Oui",'Suivi Agents'!$F45&gt;0,M$4=1,M$3&lt;=Paramètres!$B$10),M45/'Suivi Agents'!$G45+M45/1000+(1000-ROW())/10000000,-1)</f>
        <v>-1</v>
      </c>
      <c r="N90" s="44">
        <f>IF(AND('Suivi Agents'!$C45="Oui",'Suivi Agents'!$F45&gt;0,N$4=1,N$3&lt;=Paramètres!$B$10),N45/'Suivi Agents'!$G45+N45/1000+(1000-ROW())/10000000,-1)</f>
        <v>-1</v>
      </c>
      <c r="O90" s="44">
        <f>IF(AND('Suivi Agents'!$C45="Oui",'Suivi Agents'!$F45&gt;0,O$4=1,O$3&lt;=Paramètres!$B$10),O45/'Suivi Agents'!$G45+O45/1000+(1000-ROW())/10000000,-1)</f>
        <v>-1</v>
      </c>
      <c r="P90" s="44">
        <f>IF(AND('Suivi Agents'!$C45="Oui",'Suivi Agents'!$F45&gt;0,P$4=1,P$3&lt;=Paramètres!$B$10),P45/'Suivi Agents'!$G45+P45/1000+(1000-ROW())/10000000,-1)</f>
        <v>-1</v>
      </c>
      <c r="Q90" s="44">
        <f>IF(AND('Suivi Agents'!$C45="Oui",'Suivi Agents'!$F45&gt;0,Q$4=1,Q$3&lt;=Paramètres!$B$10),Q45/'Suivi Agents'!$G45+Q45/1000+(1000-ROW())/10000000,-1)</f>
        <v>-1</v>
      </c>
      <c r="R90" s="44">
        <f>IF(AND('Suivi Agents'!$C45="Oui",'Suivi Agents'!$F45&gt;0,R$4=1,R$3&lt;=Paramètres!$B$10),R45/'Suivi Agents'!$G45+R45/1000+(1000-ROW())/10000000,-1)</f>
        <v>-1</v>
      </c>
      <c r="S90" s="44">
        <f>IF(AND('Suivi Agents'!$C45="Oui",'Suivi Agents'!$F45&gt;0,S$4=1,S$3&lt;=Paramètres!$B$10),S45/'Suivi Agents'!$G45+S45/1000+(1000-ROW())/10000000,-1)</f>
        <v>-1</v>
      </c>
      <c r="T90" s="44">
        <f>IF(AND('Suivi Agents'!$C45="Oui",'Suivi Agents'!$F45&gt;0,T$4=1,T$3&lt;=Paramètres!$B$10),T45/'Suivi Agents'!$G45+T45/1000+(1000-ROW())/10000000,-1)</f>
        <v>-1</v>
      </c>
      <c r="U90" s="44">
        <f>IF(AND('Suivi Agents'!$C45="Oui",'Suivi Agents'!$F45&gt;0,U$4=1,U$3&lt;=Paramètres!$B$10),U45/'Suivi Agents'!$G45+U45/1000+(1000-ROW())/10000000,-1)</f>
        <v>-1</v>
      </c>
      <c r="V90" s="44">
        <f>IF(AND('Suivi Agents'!$C45="Oui",'Suivi Agents'!$F45&gt;0,V$4=1,V$3&lt;=Paramètres!$B$10),V45/'Suivi Agents'!$G45+V45/1000+(1000-ROW())/10000000,-1)</f>
        <v>-1</v>
      </c>
      <c r="W90" s="44">
        <f>IF(AND('Suivi Agents'!$C45="Oui",'Suivi Agents'!$F45&gt;0,W$4=1,W$3&lt;=Paramètres!$B$10),W45/'Suivi Agents'!$G45+W45/1000+(1000-ROW())/10000000,-1)</f>
        <v>-1</v>
      </c>
      <c r="X90" s="44">
        <f>IF(AND('Suivi Agents'!$C45="Oui",'Suivi Agents'!$F45&gt;0,X$4=1,X$3&lt;=Paramètres!$B$10),X45/'Suivi Agents'!$G45+X45/1000+(1000-ROW())/10000000,-1)</f>
        <v>-1</v>
      </c>
      <c r="Y90" s="44">
        <f>IF(AND('Suivi Agents'!$C45="Oui",'Suivi Agents'!$F45&gt;0,Y$4=1,Y$3&lt;=Paramètres!$B$10),Y45/'Suivi Agents'!$G45+Y45/1000+(1000-ROW())/10000000,-1)</f>
        <v>-1</v>
      </c>
      <c r="Z90" s="44">
        <f>IF(AND('Suivi Agents'!$C45="Oui",'Suivi Agents'!$F45&gt;0,Z$4=1,Z$3&lt;=Paramètres!$B$10),Z45/'Suivi Agents'!$G45+Z45/1000+(1000-ROW())/10000000,-1)</f>
        <v>-1</v>
      </c>
      <c r="AA90" s="44">
        <f>IF(AND('Suivi Agents'!$C45="Oui",'Suivi Agents'!$F45&gt;0,AA$4=1,AA$3&lt;=Paramètres!$B$10),AA45/'Suivi Agents'!$G45+AA45/1000+(1000-ROW())/10000000,-1)</f>
        <v>-1</v>
      </c>
      <c r="AB90" s="44">
        <f>IF(AND('Suivi Agents'!$C45="Oui",'Suivi Agents'!$F45&gt;0,AB$4=1,AB$3&lt;=Paramètres!$B$10),AB45/'Suivi Agents'!$G45+AB45/1000+(1000-ROW())/10000000,-1)</f>
        <v>-1</v>
      </c>
      <c r="AC90" s="44">
        <f>IF(AND('Suivi Agents'!$C45="Oui",'Suivi Agents'!$F45&gt;0,AC$4=1,AC$3&lt;=Paramètres!$B$10),AC45/'Suivi Agents'!$G45+AC45/1000+(1000-ROW())/10000000,-1)</f>
        <v>-1</v>
      </c>
      <c r="AD90" s="44">
        <f>IF(AND('Suivi Agents'!$C45="Oui",'Suivi Agents'!$F45&gt;0,AD$4=1,AD$3&lt;=Paramètres!$B$10),AD45/'Suivi Agents'!$G45+AD45/1000+(1000-ROW())/10000000,-1)</f>
        <v>-1</v>
      </c>
      <c r="AE90" s="44">
        <f>IF(AND('Suivi Agents'!$C45="Oui",'Suivi Agents'!$F45&gt;0,AE$4=1,AE$3&lt;=Paramètres!$B$10),AE45/'Suivi Agents'!$G45+AE45/1000+(1000-ROW())/10000000,-1)</f>
        <v>-1</v>
      </c>
      <c r="AF90" s="44">
        <f>IF(AND('Suivi Agents'!$C45="Oui",'Suivi Agents'!$F45&gt;0,AF$4=1,AF$3&lt;=Paramètres!$B$10),AF45/'Suivi Agents'!$G45+AF45/1000+(1000-ROW())/10000000,-1)</f>
        <v>-1</v>
      </c>
      <c r="AG90" s="44">
        <f>IF(AND('Suivi Agents'!$C45="Oui",'Suivi Agents'!$F45&gt;0,AG$4=1,AG$3&lt;=Paramètres!$B$10),AG45/'Suivi Agents'!$G45+AG45/1000+(1000-ROW())/10000000,-1)</f>
        <v>-1</v>
      </c>
      <c r="AH90" s="44">
        <f>IF(AND('Suivi Agents'!$C45="Oui",'Suivi Agents'!$F45&gt;0,AH$4=1,AH$3&lt;=Paramètres!$B$10),AH45/'Suivi Agents'!$G45+AH45/1000+(1000-ROW())/10000000,-1)</f>
        <v>-1</v>
      </c>
    </row>
    <row r="91" spans="1:34" x14ac:dyDescent="0.45">
      <c r="A91" s="8" t="str">
        <f t="shared" ref="A91:B110" si="2">A46</f>
        <v>OMEGA</v>
      </c>
      <c r="B91" s="8" t="str">
        <f t="shared" si="2"/>
        <v>pvt_rgz_mvenceslas</v>
      </c>
      <c r="D91" s="44">
        <f>IF(AND('Suivi Agents'!$C46="Oui",'Suivi Agents'!$F46&gt;0,D$4=1,D$3&lt;=Paramètres!$B$10),D46/'Suivi Agents'!$G46+D46/1000+(1000-ROW())/10000000,-1)</f>
        <v>9.09E-5</v>
      </c>
      <c r="E91" s="44">
        <f>IF(AND('Suivi Agents'!$C46="Oui",'Suivi Agents'!$F46&gt;0,E$4=1,E$3&lt;=Paramètres!$B$10),E46/'Suivi Agents'!$G46+E46/1000+(1000-ROW())/10000000,-1)</f>
        <v>-1</v>
      </c>
      <c r="F91" s="44">
        <f>IF(AND('Suivi Agents'!$C46="Oui",'Suivi Agents'!$F46&gt;0,F$4=1,F$3&lt;=Paramètres!$B$10),F46/'Suivi Agents'!$G46+F46/1000+(1000-ROW())/10000000,-1)</f>
        <v>-1</v>
      </c>
      <c r="G91" s="44">
        <f>IF(AND('Suivi Agents'!$C46="Oui",'Suivi Agents'!$F46&gt;0,G$4=1,G$3&lt;=Paramètres!$B$10),G46/'Suivi Agents'!$G46+G46/1000+(1000-ROW())/10000000,-1)</f>
        <v>-1</v>
      </c>
      <c r="H91" s="44">
        <f>IF(AND('Suivi Agents'!$C46="Oui",'Suivi Agents'!$F46&gt;0,H$4=1,H$3&lt;=Paramètres!$B$10),H46/'Suivi Agents'!$G46+H46/1000+(1000-ROW())/10000000,-1)</f>
        <v>-1</v>
      </c>
      <c r="I91" s="44">
        <f>IF(AND('Suivi Agents'!$C46="Oui",'Suivi Agents'!$F46&gt;0,I$4=1,I$3&lt;=Paramètres!$B$10),I46/'Suivi Agents'!$G46+I46/1000+(1000-ROW())/10000000,-1)</f>
        <v>-1</v>
      </c>
      <c r="J91" s="44">
        <f>IF(AND('Suivi Agents'!$C46="Oui",'Suivi Agents'!$F46&gt;0,J$4=1,J$3&lt;=Paramètres!$B$10),J46/'Suivi Agents'!$G46+J46/1000+(1000-ROW())/10000000,-1)</f>
        <v>-1</v>
      </c>
      <c r="K91" s="44">
        <f>IF(AND('Suivi Agents'!$C46="Oui",'Suivi Agents'!$F46&gt;0,K$4=1,K$3&lt;=Paramètres!$B$10),K46/'Suivi Agents'!$G46+K46/1000+(1000-ROW())/10000000,-1)</f>
        <v>-1</v>
      </c>
      <c r="L91" s="44">
        <f>IF(AND('Suivi Agents'!$C46="Oui",'Suivi Agents'!$F46&gt;0,L$4=1,L$3&lt;=Paramètres!$B$10),L46/'Suivi Agents'!$G46+L46/1000+(1000-ROW())/10000000,-1)</f>
        <v>-1</v>
      </c>
      <c r="M91" s="44">
        <f>IF(AND('Suivi Agents'!$C46="Oui",'Suivi Agents'!$F46&gt;0,M$4=1,M$3&lt;=Paramètres!$B$10),M46/'Suivi Agents'!$G46+M46/1000+(1000-ROW())/10000000,-1)</f>
        <v>-1</v>
      </c>
      <c r="N91" s="44">
        <f>IF(AND('Suivi Agents'!$C46="Oui",'Suivi Agents'!$F46&gt;0,N$4=1,N$3&lt;=Paramètres!$B$10),N46/'Suivi Agents'!$G46+N46/1000+(1000-ROW())/10000000,-1)</f>
        <v>-1</v>
      </c>
      <c r="O91" s="44">
        <f>IF(AND('Suivi Agents'!$C46="Oui",'Suivi Agents'!$F46&gt;0,O$4=1,O$3&lt;=Paramètres!$B$10),O46/'Suivi Agents'!$G46+O46/1000+(1000-ROW())/10000000,-1)</f>
        <v>-1</v>
      </c>
      <c r="P91" s="44">
        <f>IF(AND('Suivi Agents'!$C46="Oui",'Suivi Agents'!$F46&gt;0,P$4=1,P$3&lt;=Paramètres!$B$10),P46/'Suivi Agents'!$G46+P46/1000+(1000-ROW())/10000000,-1)</f>
        <v>-1</v>
      </c>
      <c r="Q91" s="44">
        <f>IF(AND('Suivi Agents'!$C46="Oui",'Suivi Agents'!$F46&gt;0,Q$4=1,Q$3&lt;=Paramètres!$B$10),Q46/'Suivi Agents'!$G46+Q46/1000+(1000-ROW())/10000000,-1)</f>
        <v>-1</v>
      </c>
      <c r="R91" s="44">
        <f>IF(AND('Suivi Agents'!$C46="Oui",'Suivi Agents'!$F46&gt;0,R$4=1,R$3&lt;=Paramètres!$B$10),R46/'Suivi Agents'!$G46+R46/1000+(1000-ROW())/10000000,-1)</f>
        <v>-1</v>
      </c>
      <c r="S91" s="44">
        <f>IF(AND('Suivi Agents'!$C46="Oui",'Suivi Agents'!$F46&gt;0,S$4=1,S$3&lt;=Paramètres!$B$10),S46/'Suivi Agents'!$G46+S46/1000+(1000-ROW())/10000000,-1)</f>
        <v>-1</v>
      </c>
      <c r="T91" s="44">
        <f>IF(AND('Suivi Agents'!$C46="Oui",'Suivi Agents'!$F46&gt;0,T$4=1,T$3&lt;=Paramètres!$B$10),T46/'Suivi Agents'!$G46+T46/1000+(1000-ROW())/10000000,-1)</f>
        <v>-1</v>
      </c>
      <c r="U91" s="44">
        <f>IF(AND('Suivi Agents'!$C46="Oui",'Suivi Agents'!$F46&gt;0,U$4=1,U$3&lt;=Paramètres!$B$10),U46/'Suivi Agents'!$G46+U46/1000+(1000-ROW())/10000000,-1)</f>
        <v>-1</v>
      </c>
      <c r="V91" s="44">
        <f>IF(AND('Suivi Agents'!$C46="Oui",'Suivi Agents'!$F46&gt;0,V$4=1,V$3&lt;=Paramètres!$B$10),V46/'Suivi Agents'!$G46+V46/1000+(1000-ROW())/10000000,-1)</f>
        <v>-1</v>
      </c>
      <c r="W91" s="44">
        <f>IF(AND('Suivi Agents'!$C46="Oui",'Suivi Agents'!$F46&gt;0,W$4=1,W$3&lt;=Paramètres!$B$10),W46/'Suivi Agents'!$G46+W46/1000+(1000-ROW())/10000000,-1)</f>
        <v>-1</v>
      </c>
      <c r="X91" s="44">
        <f>IF(AND('Suivi Agents'!$C46="Oui",'Suivi Agents'!$F46&gt;0,X$4=1,X$3&lt;=Paramètres!$B$10),X46/'Suivi Agents'!$G46+X46/1000+(1000-ROW())/10000000,-1)</f>
        <v>-1</v>
      </c>
      <c r="Y91" s="44">
        <f>IF(AND('Suivi Agents'!$C46="Oui",'Suivi Agents'!$F46&gt;0,Y$4=1,Y$3&lt;=Paramètres!$B$10),Y46/'Suivi Agents'!$G46+Y46/1000+(1000-ROW())/10000000,-1)</f>
        <v>-1</v>
      </c>
      <c r="Z91" s="44">
        <f>IF(AND('Suivi Agents'!$C46="Oui",'Suivi Agents'!$F46&gt;0,Z$4=1,Z$3&lt;=Paramètres!$B$10),Z46/'Suivi Agents'!$G46+Z46/1000+(1000-ROW())/10000000,-1)</f>
        <v>-1</v>
      </c>
      <c r="AA91" s="44">
        <f>IF(AND('Suivi Agents'!$C46="Oui",'Suivi Agents'!$F46&gt;0,AA$4=1,AA$3&lt;=Paramètres!$B$10),AA46/'Suivi Agents'!$G46+AA46/1000+(1000-ROW())/10000000,-1)</f>
        <v>-1</v>
      </c>
      <c r="AB91" s="44">
        <f>IF(AND('Suivi Agents'!$C46="Oui",'Suivi Agents'!$F46&gt;0,AB$4=1,AB$3&lt;=Paramètres!$B$10),AB46/'Suivi Agents'!$G46+AB46/1000+(1000-ROW())/10000000,-1)</f>
        <v>-1</v>
      </c>
      <c r="AC91" s="44">
        <f>IF(AND('Suivi Agents'!$C46="Oui",'Suivi Agents'!$F46&gt;0,AC$4=1,AC$3&lt;=Paramètres!$B$10),AC46/'Suivi Agents'!$G46+AC46/1000+(1000-ROW())/10000000,-1)</f>
        <v>-1</v>
      </c>
      <c r="AD91" s="44">
        <f>IF(AND('Suivi Agents'!$C46="Oui",'Suivi Agents'!$F46&gt;0,AD$4=1,AD$3&lt;=Paramètres!$B$10),AD46/'Suivi Agents'!$G46+AD46/1000+(1000-ROW())/10000000,-1)</f>
        <v>-1</v>
      </c>
      <c r="AE91" s="44">
        <f>IF(AND('Suivi Agents'!$C46="Oui",'Suivi Agents'!$F46&gt;0,AE$4=1,AE$3&lt;=Paramètres!$B$10),AE46/'Suivi Agents'!$G46+AE46/1000+(1000-ROW())/10000000,-1)</f>
        <v>-1</v>
      </c>
      <c r="AF91" s="44">
        <f>IF(AND('Suivi Agents'!$C46="Oui",'Suivi Agents'!$F46&gt;0,AF$4=1,AF$3&lt;=Paramètres!$B$10),AF46/'Suivi Agents'!$G46+AF46/1000+(1000-ROW())/10000000,-1)</f>
        <v>-1</v>
      </c>
      <c r="AG91" s="44">
        <f>IF(AND('Suivi Agents'!$C46="Oui",'Suivi Agents'!$F46&gt;0,AG$4=1,AG$3&lt;=Paramètres!$B$10),AG46/'Suivi Agents'!$G46+AG46/1000+(1000-ROW())/10000000,-1)</f>
        <v>-1</v>
      </c>
      <c r="AH91" s="44">
        <f>IF(AND('Suivi Agents'!$C46="Oui",'Suivi Agents'!$F46&gt;0,AH$4=1,AH$3&lt;=Paramètres!$B$10),AH46/'Suivi Agents'!$G46+AH46/1000+(1000-ROW())/10000000,-1)</f>
        <v>-1</v>
      </c>
    </row>
    <row r="92" spans="1:34" x14ac:dyDescent="0.45">
      <c r="A92" s="8" t="str">
        <f t="shared" si="2"/>
        <v>OMEGA</v>
      </c>
      <c r="B92" s="8" t="str">
        <f t="shared" si="2"/>
        <v>pvt_rgz_amarcel</v>
      </c>
      <c r="D92" s="44">
        <f>IF(AND('Suivi Agents'!$C47="Oui",'Suivi Agents'!$F47&gt;0,D$4=1,D$3&lt;=Paramètres!$B$10),D47/'Suivi Agents'!$G47+D47/1000+(1000-ROW())/10000000,-1)</f>
        <v>9.0799999999999998E-5</v>
      </c>
      <c r="E92" s="44">
        <f>IF(AND('Suivi Agents'!$C47="Oui",'Suivi Agents'!$F47&gt;0,E$4=1,E$3&lt;=Paramètres!$B$10),E47/'Suivi Agents'!$G47+E47/1000+(1000-ROW())/10000000,-1)</f>
        <v>-1</v>
      </c>
      <c r="F92" s="44">
        <f>IF(AND('Suivi Agents'!$C47="Oui",'Suivi Agents'!$F47&gt;0,F$4=1,F$3&lt;=Paramètres!$B$10),F47/'Suivi Agents'!$G47+F47/1000+(1000-ROW())/10000000,-1)</f>
        <v>-1</v>
      </c>
      <c r="G92" s="44">
        <f>IF(AND('Suivi Agents'!$C47="Oui",'Suivi Agents'!$F47&gt;0,G$4=1,G$3&lt;=Paramètres!$B$10),G47/'Suivi Agents'!$G47+G47/1000+(1000-ROW())/10000000,-1)</f>
        <v>-1</v>
      </c>
      <c r="H92" s="44">
        <f>IF(AND('Suivi Agents'!$C47="Oui",'Suivi Agents'!$F47&gt;0,H$4=1,H$3&lt;=Paramètres!$B$10),H47/'Suivi Agents'!$G47+H47/1000+(1000-ROW())/10000000,-1)</f>
        <v>-1</v>
      </c>
      <c r="I92" s="44">
        <f>IF(AND('Suivi Agents'!$C47="Oui",'Suivi Agents'!$F47&gt;0,I$4=1,I$3&lt;=Paramètres!$B$10),I47/'Suivi Agents'!$G47+I47/1000+(1000-ROW())/10000000,-1)</f>
        <v>-1</v>
      </c>
      <c r="J92" s="44">
        <f>IF(AND('Suivi Agents'!$C47="Oui",'Suivi Agents'!$F47&gt;0,J$4=1,J$3&lt;=Paramètres!$B$10),J47/'Suivi Agents'!$G47+J47/1000+(1000-ROW())/10000000,-1)</f>
        <v>-1</v>
      </c>
      <c r="K92" s="44">
        <f>IF(AND('Suivi Agents'!$C47="Oui",'Suivi Agents'!$F47&gt;0,K$4=1,K$3&lt;=Paramètres!$B$10),K47/'Suivi Agents'!$G47+K47/1000+(1000-ROW())/10000000,-1)</f>
        <v>-1</v>
      </c>
      <c r="L92" s="44">
        <f>IF(AND('Suivi Agents'!$C47="Oui",'Suivi Agents'!$F47&gt;0,L$4=1,L$3&lt;=Paramètres!$B$10),L47/'Suivi Agents'!$G47+L47/1000+(1000-ROW())/10000000,-1)</f>
        <v>-1</v>
      </c>
      <c r="M92" s="44">
        <f>IF(AND('Suivi Agents'!$C47="Oui",'Suivi Agents'!$F47&gt;0,M$4=1,M$3&lt;=Paramètres!$B$10),M47/'Suivi Agents'!$G47+M47/1000+(1000-ROW())/10000000,-1)</f>
        <v>-1</v>
      </c>
      <c r="N92" s="44">
        <f>IF(AND('Suivi Agents'!$C47="Oui",'Suivi Agents'!$F47&gt;0,N$4=1,N$3&lt;=Paramètres!$B$10),N47/'Suivi Agents'!$G47+N47/1000+(1000-ROW())/10000000,-1)</f>
        <v>-1</v>
      </c>
      <c r="O92" s="44">
        <f>IF(AND('Suivi Agents'!$C47="Oui",'Suivi Agents'!$F47&gt;0,O$4=1,O$3&lt;=Paramètres!$B$10),O47/'Suivi Agents'!$G47+O47/1000+(1000-ROW())/10000000,-1)</f>
        <v>-1</v>
      </c>
      <c r="P92" s="44">
        <f>IF(AND('Suivi Agents'!$C47="Oui",'Suivi Agents'!$F47&gt;0,P$4=1,P$3&lt;=Paramètres!$B$10),P47/'Suivi Agents'!$G47+P47/1000+(1000-ROW())/10000000,-1)</f>
        <v>-1</v>
      </c>
      <c r="Q92" s="44">
        <f>IF(AND('Suivi Agents'!$C47="Oui",'Suivi Agents'!$F47&gt;0,Q$4=1,Q$3&lt;=Paramètres!$B$10),Q47/'Suivi Agents'!$G47+Q47/1000+(1000-ROW())/10000000,-1)</f>
        <v>-1</v>
      </c>
      <c r="R92" s="44">
        <f>IF(AND('Suivi Agents'!$C47="Oui",'Suivi Agents'!$F47&gt;0,R$4=1,R$3&lt;=Paramètres!$B$10),R47/'Suivi Agents'!$G47+R47/1000+(1000-ROW())/10000000,-1)</f>
        <v>-1</v>
      </c>
      <c r="S92" s="44">
        <f>IF(AND('Suivi Agents'!$C47="Oui",'Suivi Agents'!$F47&gt;0,S$4=1,S$3&lt;=Paramètres!$B$10),S47/'Suivi Agents'!$G47+S47/1000+(1000-ROW())/10000000,-1)</f>
        <v>-1</v>
      </c>
      <c r="T92" s="44">
        <f>IF(AND('Suivi Agents'!$C47="Oui",'Suivi Agents'!$F47&gt;0,T$4=1,T$3&lt;=Paramètres!$B$10),T47/'Suivi Agents'!$G47+T47/1000+(1000-ROW())/10000000,-1)</f>
        <v>-1</v>
      </c>
      <c r="U92" s="44">
        <f>IF(AND('Suivi Agents'!$C47="Oui",'Suivi Agents'!$F47&gt;0,U$4=1,U$3&lt;=Paramètres!$B$10),U47/'Suivi Agents'!$G47+U47/1000+(1000-ROW())/10000000,-1)</f>
        <v>-1</v>
      </c>
      <c r="V92" s="44">
        <f>IF(AND('Suivi Agents'!$C47="Oui",'Suivi Agents'!$F47&gt;0,V$4=1,V$3&lt;=Paramètres!$B$10),V47/'Suivi Agents'!$G47+V47/1000+(1000-ROW())/10000000,-1)</f>
        <v>-1</v>
      </c>
      <c r="W92" s="44">
        <f>IF(AND('Suivi Agents'!$C47="Oui",'Suivi Agents'!$F47&gt;0,W$4=1,W$3&lt;=Paramètres!$B$10),W47/'Suivi Agents'!$G47+W47/1000+(1000-ROW())/10000000,-1)</f>
        <v>-1</v>
      </c>
      <c r="X92" s="44">
        <f>IF(AND('Suivi Agents'!$C47="Oui",'Suivi Agents'!$F47&gt;0,X$4=1,X$3&lt;=Paramètres!$B$10),X47/'Suivi Agents'!$G47+X47/1000+(1000-ROW())/10000000,-1)</f>
        <v>-1</v>
      </c>
      <c r="Y92" s="44">
        <f>IF(AND('Suivi Agents'!$C47="Oui",'Suivi Agents'!$F47&gt;0,Y$4=1,Y$3&lt;=Paramètres!$B$10),Y47/'Suivi Agents'!$G47+Y47/1000+(1000-ROW())/10000000,-1)</f>
        <v>-1</v>
      </c>
      <c r="Z92" s="44">
        <f>IF(AND('Suivi Agents'!$C47="Oui",'Suivi Agents'!$F47&gt;0,Z$4=1,Z$3&lt;=Paramètres!$B$10),Z47/'Suivi Agents'!$G47+Z47/1000+(1000-ROW())/10000000,-1)</f>
        <v>-1</v>
      </c>
      <c r="AA92" s="44">
        <f>IF(AND('Suivi Agents'!$C47="Oui",'Suivi Agents'!$F47&gt;0,AA$4=1,AA$3&lt;=Paramètres!$B$10),AA47/'Suivi Agents'!$G47+AA47/1000+(1000-ROW())/10000000,-1)</f>
        <v>-1</v>
      </c>
      <c r="AB92" s="44">
        <f>IF(AND('Suivi Agents'!$C47="Oui",'Suivi Agents'!$F47&gt;0,AB$4=1,AB$3&lt;=Paramètres!$B$10),AB47/'Suivi Agents'!$G47+AB47/1000+(1000-ROW())/10000000,-1)</f>
        <v>-1</v>
      </c>
      <c r="AC92" s="44">
        <f>IF(AND('Suivi Agents'!$C47="Oui",'Suivi Agents'!$F47&gt;0,AC$4=1,AC$3&lt;=Paramètres!$B$10),AC47/'Suivi Agents'!$G47+AC47/1000+(1000-ROW())/10000000,-1)</f>
        <v>-1</v>
      </c>
      <c r="AD92" s="44">
        <f>IF(AND('Suivi Agents'!$C47="Oui",'Suivi Agents'!$F47&gt;0,AD$4=1,AD$3&lt;=Paramètres!$B$10),AD47/'Suivi Agents'!$G47+AD47/1000+(1000-ROW())/10000000,-1)</f>
        <v>-1</v>
      </c>
      <c r="AE92" s="44">
        <f>IF(AND('Suivi Agents'!$C47="Oui",'Suivi Agents'!$F47&gt;0,AE$4=1,AE$3&lt;=Paramètres!$B$10),AE47/'Suivi Agents'!$G47+AE47/1000+(1000-ROW())/10000000,-1)</f>
        <v>-1</v>
      </c>
      <c r="AF92" s="44">
        <f>IF(AND('Suivi Agents'!$C47="Oui",'Suivi Agents'!$F47&gt;0,AF$4=1,AF$3&lt;=Paramètres!$B$10),AF47/'Suivi Agents'!$G47+AF47/1000+(1000-ROW())/10000000,-1)</f>
        <v>-1</v>
      </c>
      <c r="AG92" s="44">
        <f>IF(AND('Suivi Agents'!$C47="Oui",'Suivi Agents'!$F47&gt;0,AG$4=1,AG$3&lt;=Paramètres!$B$10),AG47/'Suivi Agents'!$G47+AG47/1000+(1000-ROW())/10000000,-1)</f>
        <v>-1</v>
      </c>
      <c r="AH92" s="44">
        <f>IF(AND('Suivi Agents'!$C47="Oui",'Suivi Agents'!$F47&gt;0,AH$4=1,AH$3&lt;=Paramètres!$B$10),AH47/'Suivi Agents'!$G47+AH47/1000+(1000-ROW())/10000000,-1)</f>
        <v>-1</v>
      </c>
    </row>
    <row r="93" spans="1:34" x14ac:dyDescent="0.45">
      <c r="A93" s="8" t="str">
        <f t="shared" si="2"/>
        <v>OMEGA</v>
      </c>
      <c r="B93" s="8" t="str">
        <f t="shared" si="2"/>
        <v>pvt_rgz_ojeovani.ftth</v>
      </c>
      <c r="D93" s="44">
        <f>IF(AND('Suivi Agents'!$C48="Oui",'Suivi Agents'!$F48&gt;0,D$4=1,D$3&lt;=Paramètres!$B$10),D48/'Suivi Agents'!$G48+D48/1000+(1000-ROW())/10000000,-1)</f>
        <v>9.0699999999999996E-5</v>
      </c>
      <c r="E93" s="44">
        <f>IF(AND('Suivi Agents'!$C48="Oui",'Suivi Agents'!$F48&gt;0,E$4=1,E$3&lt;=Paramètres!$B$10),E48/'Suivi Agents'!$G48+E48/1000+(1000-ROW())/10000000,-1)</f>
        <v>-1</v>
      </c>
      <c r="F93" s="44">
        <f>IF(AND('Suivi Agents'!$C48="Oui",'Suivi Agents'!$F48&gt;0,F$4=1,F$3&lt;=Paramètres!$B$10),F48/'Suivi Agents'!$G48+F48/1000+(1000-ROW())/10000000,-1)</f>
        <v>-1</v>
      </c>
      <c r="G93" s="44">
        <f>IF(AND('Suivi Agents'!$C48="Oui",'Suivi Agents'!$F48&gt;0,G$4=1,G$3&lt;=Paramètres!$B$10),G48/'Suivi Agents'!$G48+G48/1000+(1000-ROW())/10000000,-1)</f>
        <v>-1</v>
      </c>
      <c r="H93" s="44">
        <f>IF(AND('Suivi Agents'!$C48="Oui",'Suivi Agents'!$F48&gt;0,H$4=1,H$3&lt;=Paramètres!$B$10),H48/'Suivi Agents'!$G48+H48/1000+(1000-ROW())/10000000,-1)</f>
        <v>-1</v>
      </c>
      <c r="I93" s="44">
        <f>IF(AND('Suivi Agents'!$C48="Oui",'Suivi Agents'!$F48&gt;0,I$4=1,I$3&lt;=Paramètres!$B$10),I48/'Suivi Agents'!$G48+I48/1000+(1000-ROW())/10000000,-1)</f>
        <v>-1</v>
      </c>
      <c r="J93" s="44">
        <f>IF(AND('Suivi Agents'!$C48="Oui",'Suivi Agents'!$F48&gt;0,J$4=1,J$3&lt;=Paramètres!$B$10),J48/'Suivi Agents'!$G48+J48/1000+(1000-ROW())/10000000,-1)</f>
        <v>-1</v>
      </c>
      <c r="K93" s="44">
        <f>IF(AND('Suivi Agents'!$C48="Oui",'Suivi Agents'!$F48&gt;0,K$4=1,K$3&lt;=Paramètres!$B$10),K48/'Suivi Agents'!$G48+K48/1000+(1000-ROW())/10000000,-1)</f>
        <v>-1</v>
      </c>
      <c r="L93" s="44">
        <f>IF(AND('Suivi Agents'!$C48="Oui",'Suivi Agents'!$F48&gt;0,L$4=1,L$3&lt;=Paramètres!$B$10),L48/'Suivi Agents'!$G48+L48/1000+(1000-ROW())/10000000,-1)</f>
        <v>-1</v>
      </c>
      <c r="M93" s="44">
        <f>IF(AND('Suivi Agents'!$C48="Oui",'Suivi Agents'!$F48&gt;0,M$4=1,M$3&lt;=Paramètres!$B$10),M48/'Suivi Agents'!$G48+M48/1000+(1000-ROW())/10000000,-1)</f>
        <v>-1</v>
      </c>
      <c r="N93" s="44">
        <f>IF(AND('Suivi Agents'!$C48="Oui",'Suivi Agents'!$F48&gt;0,N$4=1,N$3&lt;=Paramètres!$B$10),N48/'Suivi Agents'!$G48+N48/1000+(1000-ROW())/10000000,-1)</f>
        <v>-1</v>
      </c>
      <c r="O93" s="44">
        <f>IF(AND('Suivi Agents'!$C48="Oui",'Suivi Agents'!$F48&gt;0,O$4=1,O$3&lt;=Paramètres!$B$10),O48/'Suivi Agents'!$G48+O48/1000+(1000-ROW())/10000000,-1)</f>
        <v>-1</v>
      </c>
      <c r="P93" s="44">
        <f>IF(AND('Suivi Agents'!$C48="Oui",'Suivi Agents'!$F48&gt;0,P$4=1,P$3&lt;=Paramètres!$B$10),P48/'Suivi Agents'!$G48+P48/1000+(1000-ROW())/10000000,-1)</f>
        <v>-1</v>
      </c>
      <c r="Q93" s="44">
        <f>IF(AND('Suivi Agents'!$C48="Oui",'Suivi Agents'!$F48&gt;0,Q$4=1,Q$3&lt;=Paramètres!$B$10),Q48/'Suivi Agents'!$G48+Q48/1000+(1000-ROW())/10000000,-1)</f>
        <v>-1</v>
      </c>
      <c r="R93" s="44">
        <f>IF(AND('Suivi Agents'!$C48="Oui",'Suivi Agents'!$F48&gt;0,R$4=1,R$3&lt;=Paramètres!$B$10),R48/'Suivi Agents'!$G48+R48/1000+(1000-ROW())/10000000,-1)</f>
        <v>-1</v>
      </c>
      <c r="S93" s="44">
        <f>IF(AND('Suivi Agents'!$C48="Oui",'Suivi Agents'!$F48&gt;0,S$4=1,S$3&lt;=Paramètres!$B$10),S48/'Suivi Agents'!$G48+S48/1000+(1000-ROW())/10000000,-1)</f>
        <v>-1</v>
      </c>
      <c r="T93" s="44">
        <f>IF(AND('Suivi Agents'!$C48="Oui",'Suivi Agents'!$F48&gt;0,T$4=1,T$3&lt;=Paramètres!$B$10),T48/'Suivi Agents'!$G48+T48/1000+(1000-ROW())/10000000,-1)</f>
        <v>-1</v>
      </c>
      <c r="U93" s="44">
        <f>IF(AND('Suivi Agents'!$C48="Oui",'Suivi Agents'!$F48&gt;0,U$4=1,U$3&lt;=Paramètres!$B$10),U48/'Suivi Agents'!$G48+U48/1000+(1000-ROW())/10000000,-1)</f>
        <v>-1</v>
      </c>
      <c r="V93" s="44">
        <f>IF(AND('Suivi Agents'!$C48="Oui",'Suivi Agents'!$F48&gt;0,V$4=1,V$3&lt;=Paramètres!$B$10),V48/'Suivi Agents'!$G48+V48/1000+(1000-ROW())/10000000,-1)</f>
        <v>-1</v>
      </c>
      <c r="W93" s="44">
        <f>IF(AND('Suivi Agents'!$C48="Oui",'Suivi Agents'!$F48&gt;0,W$4=1,W$3&lt;=Paramètres!$B$10),W48/'Suivi Agents'!$G48+W48/1000+(1000-ROW())/10000000,-1)</f>
        <v>-1</v>
      </c>
      <c r="X93" s="44">
        <f>IF(AND('Suivi Agents'!$C48="Oui",'Suivi Agents'!$F48&gt;0,X$4=1,X$3&lt;=Paramètres!$B$10),X48/'Suivi Agents'!$G48+X48/1000+(1000-ROW())/10000000,-1)</f>
        <v>-1</v>
      </c>
      <c r="Y93" s="44">
        <f>IF(AND('Suivi Agents'!$C48="Oui",'Suivi Agents'!$F48&gt;0,Y$4=1,Y$3&lt;=Paramètres!$B$10),Y48/'Suivi Agents'!$G48+Y48/1000+(1000-ROW())/10000000,-1)</f>
        <v>-1</v>
      </c>
      <c r="Z93" s="44">
        <f>IF(AND('Suivi Agents'!$C48="Oui",'Suivi Agents'!$F48&gt;0,Z$4=1,Z$3&lt;=Paramètres!$B$10),Z48/'Suivi Agents'!$G48+Z48/1000+(1000-ROW())/10000000,-1)</f>
        <v>-1</v>
      </c>
      <c r="AA93" s="44">
        <f>IF(AND('Suivi Agents'!$C48="Oui",'Suivi Agents'!$F48&gt;0,AA$4=1,AA$3&lt;=Paramètres!$B$10),AA48/'Suivi Agents'!$G48+AA48/1000+(1000-ROW())/10000000,-1)</f>
        <v>-1</v>
      </c>
      <c r="AB93" s="44">
        <f>IF(AND('Suivi Agents'!$C48="Oui",'Suivi Agents'!$F48&gt;0,AB$4=1,AB$3&lt;=Paramètres!$B$10),AB48/'Suivi Agents'!$G48+AB48/1000+(1000-ROW())/10000000,-1)</f>
        <v>-1</v>
      </c>
      <c r="AC93" s="44">
        <f>IF(AND('Suivi Agents'!$C48="Oui",'Suivi Agents'!$F48&gt;0,AC$4=1,AC$3&lt;=Paramètres!$B$10),AC48/'Suivi Agents'!$G48+AC48/1000+(1000-ROW())/10000000,-1)</f>
        <v>-1</v>
      </c>
      <c r="AD93" s="44">
        <f>IF(AND('Suivi Agents'!$C48="Oui",'Suivi Agents'!$F48&gt;0,AD$4=1,AD$3&lt;=Paramètres!$B$10),AD48/'Suivi Agents'!$G48+AD48/1000+(1000-ROW())/10000000,-1)</f>
        <v>-1</v>
      </c>
      <c r="AE93" s="44">
        <f>IF(AND('Suivi Agents'!$C48="Oui",'Suivi Agents'!$F48&gt;0,AE$4=1,AE$3&lt;=Paramètres!$B$10),AE48/'Suivi Agents'!$G48+AE48/1000+(1000-ROW())/10000000,-1)</f>
        <v>-1</v>
      </c>
      <c r="AF93" s="44">
        <f>IF(AND('Suivi Agents'!$C48="Oui",'Suivi Agents'!$F48&gt;0,AF$4=1,AF$3&lt;=Paramètres!$B$10),AF48/'Suivi Agents'!$G48+AF48/1000+(1000-ROW())/10000000,-1)</f>
        <v>-1</v>
      </c>
      <c r="AG93" s="44">
        <f>IF(AND('Suivi Agents'!$C48="Oui",'Suivi Agents'!$F48&gt;0,AG$4=1,AG$3&lt;=Paramètres!$B$10),AG48/'Suivi Agents'!$G48+AG48/1000+(1000-ROW())/10000000,-1)</f>
        <v>-1</v>
      </c>
      <c r="AH93" s="44">
        <f>IF(AND('Suivi Agents'!$C48="Oui",'Suivi Agents'!$F48&gt;0,AH$4=1,AH$3&lt;=Paramètres!$B$10),AH48/'Suivi Agents'!$G48+AH48/1000+(1000-ROW())/10000000,-1)</f>
        <v>-1</v>
      </c>
    </row>
    <row r="95" spans="1:34" x14ac:dyDescent="0.45">
      <c r="B95" s="8" t="s">
        <v>268</v>
      </c>
      <c r="D95" s="44">
        <f t="shared" ref="D95:AH95" si="3">MAX(D51:D93)</f>
        <v>9.4900000000000003E-5</v>
      </c>
      <c r="E95" s="44">
        <f t="shared" si="3"/>
        <v>-1</v>
      </c>
      <c r="F95" s="44">
        <f t="shared" si="3"/>
        <v>-1</v>
      </c>
      <c r="G95" s="44">
        <f t="shared" si="3"/>
        <v>-1</v>
      </c>
      <c r="H95" s="44">
        <f t="shared" si="3"/>
        <v>-1</v>
      </c>
      <c r="I95" s="44">
        <f t="shared" si="3"/>
        <v>-1</v>
      </c>
      <c r="J95" s="44">
        <f t="shared" si="3"/>
        <v>-1</v>
      </c>
      <c r="K95" s="44">
        <f t="shared" si="3"/>
        <v>-1</v>
      </c>
      <c r="L95" s="44">
        <f t="shared" si="3"/>
        <v>-1</v>
      </c>
      <c r="M95" s="44">
        <f t="shared" si="3"/>
        <v>-1</v>
      </c>
      <c r="N95" s="44">
        <f t="shared" si="3"/>
        <v>-1</v>
      </c>
      <c r="O95" s="44">
        <f t="shared" si="3"/>
        <v>-1</v>
      </c>
      <c r="P95" s="44">
        <f t="shared" si="3"/>
        <v>-1</v>
      </c>
      <c r="Q95" s="44">
        <f t="shared" si="3"/>
        <v>-1</v>
      </c>
      <c r="R95" s="44">
        <f t="shared" si="3"/>
        <v>-1</v>
      </c>
      <c r="S95" s="44">
        <f t="shared" si="3"/>
        <v>-1</v>
      </c>
      <c r="T95" s="44">
        <f t="shared" si="3"/>
        <v>-1</v>
      </c>
      <c r="U95" s="44">
        <f t="shared" si="3"/>
        <v>-1</v>
      </c>
      <c r="V95" s="44">
        <f t="shared" si="3"/>
        <v>-1</v>
      </c>
      <c r="W95" s="44">
        <f t="shared" si="3"/>
        <v>-1</v>
      </c>
      <c r="X95" s="44">
        <f t="shared" si="3"/>
        <v>-1</v>
      </c>
      <c r="Y95" s="44">
        <f t="shared" si="3"/>
        <v>-1</v>
      </c>
      <c r="Z95" s="44">
        <f t="shared" si="3"/>
        <v>-1</v>
      </c>
      <c r="AA95" s="44">
        <f t="shared" si="3"/>
        <v>-1</v>
      </c>
      <c r="AB95" s="44">
        <f t="shared" si="3"/>
        <v>-1</v>
      </c>
      <c r="AC95" s="44">
        <f t="shared" si="3"/>
        <v>-1</v>
      </c>
      <c r="AD95" s="44">
        <f t="shared" si="3"/>
        <v>-1</v>
      </c>
      <c r="AE95" s="44">
        <f t="shared" si="3"/>
        <v>-1</v>
      </c>
      <c r="AF95" s="44">
        <f t="shared" si="3"/>
        <v>-1</v>
      </c>
      <c r="AG95" s="44">
        <f t="shared" si="3"/>
        <v>-1</v>
      </c>
      <c r="AH95" s="44">
        <f t="shared" si="3"/>
        <v>-1</v>
      </c>
    </row>
    <row r="96" spans="1:34" x14ac:dyDescent="0.45">
      <c r="B96" s="7" t="s">
        <v>269</v>
      </c>
      <c r="D96" s="8" t="str">
        <f t="shared" ref="D96:AH96" si="4">IF(D95&gt;=1,INDEX($B$51:$B$93,MATCH(D95,D51:D93,0)),"")</f>
        <v/>
      </c>
      <c r="E96" s="8" t="str">
        <f t="shared" si="4"/>
        <v/>
      </c>
      <c r="F96" s="8" t="str">
        <f t="shared" si="4"/>
        <v/>
      </c>
      <c r="G96" s="8" t="str">
        <f t="shared" si="4"/>
        <v/>
      </c>
      <c r="H96" s="8" t="str">
        <f t="shared" si="4"/>
        <v/>
      </c>
      <c r="I96" s="8" t="str">
        <f t="shared" si="4"/>
        <v/>
      </c>
      <c r="J96" s="8" t="str">
        <f t="shared" si="4"/>
        <v/>
      </c>
      <c r="K96" s="8" t="str">
        <f t="shared" si="4"/>
        <v/>
      </c>
      <c r="L96" s="8" t="str">
        <f t="shared" si="4"/>
        <v/>
      </c>
      <c r="M96" s="8" t="str">
        <f t="shared" si="4"/>
        <v/>
      </c>
      <c r="N96" s="8" t="str">
        <f t="shared" si="4"/>
        <v/>
      </c>
      <c r="O96" s="8" t="str">
        <f t="shared" si="4"/>
        <v/>
      </c>
      <c r="P96" s="8" t="str">
        <f t="shared" si="4"/>
        <v/>
      </c>
      <c r="Q96" s="8" t="str">
        <f t="shared" si="4"/>
        <v/>
      </c>
      <c r="R96" s="8" t="str">
        <f t="shared" si="4"/>
        <v/>
      </c>
      <c r="S96" s="8" t="str">
        <f t="shared" si="4"/>
        <v/>
      </c>
      <c r="T96" s="8" t="str">
        <f t="shared" si="4"/>
        <v/>
      </c>
      <c r="U96" s="8" t="str">
        <f t="shared" si="4"/>
        <v/>
      </c>
      <c r="V96" s="8" t="str">
        <f t="shared" si="4"/>
        <v/>
      </c>
      <c r="W96" s="8" t="str">
        <f t="shared" si="4"/>
        <v/>
      </c>
      <c r="X96" s="8" t="str">
        <f t="shared" si="4"/>
        <v/>
      </c>
      <c r="Y96" s="8" t="str">
        <f t="shared" si="4"/>
        <v/>
      </c>
      <c r="Z96" s="8" t="str">
        <f t="shared" si="4"/>
        <v/>
      </c>
      <c r="AA96" s="8" t="str">
        <f t="shared" si="4"/>
        <v/>
      </c>
      <c r="AB96" s="8" t="str">
        <f t="shared" si="4"/>
        <v/>
      </c>
      <c r="AC96" s="8" t="str">
        <f t="shared" si="4"/>
        <v/>
      </c>
      <c r="AD96" s="8" t="str">
        <f t="shared" si="4"/>
        <v/>
      </c>
      <c r="AE96" s="8" t="str">
        <f t="shared" si="4"/>
        <v/>
      </c>
      <c r="AF96" s="8" t="str">
        <f t="shared" si="4"/>
        <v/>
      </c>
      <c r="AG96" s="8" t="str">
        <f t="shared" si="4"/>
        <v/>
      </c>
      <c r="AH96" s="8" t="str">
        <f t="shared" si="4"/>
        <v/>
      </c>
    </row>
    <row r="98" spans="1:34" x14ac:dyDescent="0.45">
      <c r="A98" s="7" t="s">
        <v>270</v>
      </c>
    </row>
    <row r="99" spans="1:34" x14ac:dyDescent="0.45">
      <c r="A99" s="8" t="s">
        <v>107</v>
      </c>
      <c r="D99" s="8">
        <f t="shared" ref="D99:M108" si="5">SUMIF($A$6:$A$48,$A99,D$6:D$48)</f>
        <v>0</v>
      </c>
      <c r="E99" s="8">
        <f t="shared" si="5"/>
        <v>0</v>
      </c>
      <c r="F99" s="8">
        <f t="shared" si="5"/>
        <v>0</v>
      </c>
      <c r="G99" s="8">
        <f t="shared" si="5"/>
        <v>0</v>
      </c>
      <c r="H99" s="8">
        <f t="shared" si="5"/>
        <v>0</v>
      </c>
      <c r="I99" s="8">
        <f t="shared" si="5"/>
        <v>0</v>
      </c>
      <c r="J99" s="8">
        <f t="shared" si="5"/>
        <v>0</v>
      </c>
      <c r="K99" s="8">
        <f t="shared" si="5"/>
        <v>0</v>
      </c>
      <c r="L99" s="8">
        <f t="shared" si="5"/>
        <v>0</v>
      </c>
      <c r="M99" s="8">
        <f t="shared" si="5"/>
        <v>0</v>
      </c>
      <c r="N99" s="8">
        <f t="shared" ref="N99:W108" si="6">SUMIF($A$6:$A$48,$A99,N$6:N$48)</f>
        <v>0</v>
      </c>
      <c r="O99" s="8">
        <f t="shared" si="6"/>
        <v>0</v>
      </c>
      <c r="P99" s="8">
        <f t="shared" si="6"/>
        <v>0</v>
      </c>
      <c r="Q99" s="8">
        <f t="shared" si="6"/>
        <v>0</v>
      </c>
      <c r="R99" s="8">
        <f t="shared" si="6"/>
        <v>0</v>
      </c>
      <c r="S99" s="8">
        <f t="shared" si="6"/>
        <v>0</v>
      </c>
      <c r="T99" s="8">
        <f t="shared" si="6"/>
        <v>0</v>
      </c>
      <c r="U99" s="8">
        <f t="shared" si="6"/>
        <v>0</v>
      </c>
      <c r="V99" s="8">
        <f t="shared" si="6"/>
        <v>0</v>
      </c>
      <c r="W99" s="8">
        <f t="shared" si="6"/>
        <v>0</v>
      </c>
      <c r="X99" s="8">
        <f t="shared" ref="X99:AH108" si="7">SUMIF($A$6:$A$48,$A99,X$6:X$48)</f>
        <v>0</v>
      </c>
      <c r="Y99" s="8">
        <f t="shared" si="7"/>
        <v>0</v>
      </c>
      <c r="Z99" s="8">
        <f t="shared" si="7"/>
        <v>0</v>
      </c>
      <c r="AA99" s="8">
        <f t="shared" si="7"/>
        <v>0</v>
      </c>
      <c r="AB99" s="8">
        <f t="shared" si="7"/>
        <v>0</v>
      </c>
      <c r="AC99" s="8">
        <f t="shared" si="7"/>
        <v>0</v>
      </c>
      <c r="AD99" s="8">
        <f t="shared" si="7"/>
        <v>0</v>
      </c>
      <c r="AE99" s="8">
        <f t="shared" si="7"/>
        <v>0</v>
      </c>
      <c r="AF99" s="8">
        <f t="shared" si="7"/>
        <v>0</v>
      </c>
      <c r="AG99" s="8">
        <f t="shared" si="7"/>
        <v>0</v>
      </c>
      <c r="AH99" s="8">
        <f t="shared" si="7"/>
        <v>0</v>
      </c>
    </row>
    <row r="100" spans="1:34" x14ac:dyDescent="0.45">
      <c r="A100" s="8" t="s">
        <v>123</v>
      </c>
      <c r="D100" s="8">
        <f t="shared" si="5"/>
        <v>0</v>
      </c>
      <c r="E100" s="8">
        <f t="shared" si="5"/>
        <v>0</v>
      </c>
      <c r="F100" s="8">
        <f t="shared" si="5"/>
        <v>0</v>
      </c>
      <c r="G100" s="8">
        <f t="shared" si="5"/>
        <v>0</v>
      </c>
      <c r="H100" s="8">
        <f t="shared" si="5"/>
        <v>0</v>
      </c>
      <c r="I100" s="8">
        <f t="shared" si="5"/>
        <v>0</v>
      </c>
      <c r="J100" s="8">
        <f t="shared" si="5"/>
        <v>0</v>
      </c>
      <c r="K100" s="8">
        <f t="shared" si="5"/>
        <v>0</v>
      </c>
      <c r="L100" s="8">
        <f t="shared" si="5"/>
        <v>0</v>
      </c>
      <c r="M100" s="8">
        <f t="shared" si="5"/>
        <v>0</v>
      </c>
      <c r="N100" s="8">
        <f t="shared" si="6"/>
        <v>0</v>
      </c>
      <c r="O100" s="8">
        <f t="shared" si="6"/>
        <v>0</v>
      </c>
      <c r="P100" s="8">
        <f t="shared" si="6"/>
        <v>0</v>
      </c>
      <c r="Q100" s="8">
        <f t="shared" si="6"/>
        <v>0</v>
      </c>
      <c r="R100" s="8">
        <f t="shared" si="6"/>
        <v>0</v>
      </c>
      <c r="S100" s="8">
        <f t="shared" si="6"/>
        <v>0</v>
      </c>
      <c r="T100" s="8">
        <f t="shared" si="6"/>
        <v>0</v>
      </c>
      <c r="U100" s="8">
        <f t="shared" si="6"/>
        <v>0</v>
      </c>
      <c r="V100" s="8">
        <f t="shared" si="6"/>
        <v>0</v>
      </c>
      <c r="W100" s="8">
        <f t="shared" si="6"/>
        <v>0</v>
      </c>
      <c r="X100" s="8">
        <f t="shared" si="7"/>
        <v>0</v>
      </c>
      <c r="Y100" s="8">
        <f t="shared" si="7"/>
        <v>0</v>
      </c>
      <c r="Z100" s="8">
        <f t="shared" si="7"/>
        <v>0</v>
      </c>
      <c r="AA100" s="8">
        <f t="shared" si="7"/>
        <v>0</v>
      </c>
      <c r="AB100" s="8">
        <f t="shared" si="7"/>
        <v>0</v>
      </c>
      <c r="AC100" s="8">
        <f t="shared" si="7"/>
        <v>0</v>
      </c>
      <c r="AD100" s="8">
        <f t="shared" si="7"/>
        <v>0</v>
      </c>
      <c r="AE100" s="8">
        <f t="shared" si="7"/>
        <v>0</v>
      </c>
      <c r="AF100" s="8">
        <f t="shared" si="7"/>
        <v>0</v>
      </c>
      <c r="AG100" s="8">
        <f t="shared" si="7"/>
        <v>0</v>
      </c>
      <c r="AH100" s="8">
        <f t="shared" si="7"/>
        <v>0</v>
      </c>
    </row>
    <row r="101" spans="1:34" x14ac:dyDescent="0.45">
      <c r="A101" s="8" t="s">
        <v>127</v>
      </c>
      <c r="D101" s="8">
        <f t="shared" si="5"/>
        <v>0</v>
      </c>
      <c r="E101" s="8">
        <f t="shared" si="5"/>
        <v>0</v>
      </c>
      <c r="F101" s="8">
        <f t="shared" si="5"/>
        <v>0</v>
      </c>
      <c r="G101" s="8">
        <f t="shared" si="5"/>
        <v>0</v>
      </c>
      <c r="H101" s="8">
        <f t="shared" si="5"/>
        <v>0</v>
      </c>
      <c r="I101" s="8">
        <f t="shared" si="5"/>
        <v>0</v>
      </c>
      <c r="J101" s="8">
        <f t="shared" si="5"/>
        <v>0</v>
      </c>
      <c r="K101" s="8">
        <f t="shared" si="5"/>
        <v>0</v>
      </c>
      <c r="L101" s="8">
        <f t="shared" si="5"/>
        <v>0</v>
      </c>
      <c r="M101" s="8">
        <f t="shared" si="5"/>
        <v>0</v>
      </c>
      <c r="N101" s="8">
        <f t="shared" si="6"/>
        <v>0</v>
      </c>
      <c r="O101" s="8">
        <f t="shared" si="6"/>
        <v>0</v>
      </c>
      <c r="P101" s="8">
        <f t="shared" si="6"/>
        <v>0</v>
      </c>
      <c r="Q101" s="8">
        <f t="shared" si="6"/>
        <v>0</v>
      </c>
      <c r="R101" s="8">
        <f t="shared" si="6"/>
        <v>0</v>
      </c>
      <c r="S101" s="8">
        <f t="shared" si="6"/>
        <v>0</v>
      </c>
      <c r="T101" s="8">
        <f t="shared" si="6"/>
        <v>0</v>
      </c>
      <c r="U101" s="8">
        <f t="shared" si="6"/>
        <v>0</v>
      </c>
      <c r="V101" s="8">
        <f t="shared" si="6"/>
        <v>0</v>
      </c>
      <c r="W101" s="8">
        <f t="shared" si="6"/>
        <v>0</v>
      </c>
      <c r="X101" s="8">
        <f t="shared" si="7"/>
        <v>0</v>
      </c>
      <c r="Y101" s="8">
        <f t="shared" si="7"/>
        <v>0</v>
      </c>
      <c r="Z101" s="8">
        <f t="shared" si="7"/>
        <v>0</v>
      </c>
      <c r="AA101" s="8">
        <f t="shared" si="7"/>
        <v>0</v>
      </c>
      <c r="AB101" s="8">
        <f t="shared" si="7"/>
        <v>0</v>
      </c>
      <c r="AC101" s="8">
        <f t="shared" si="7"/>
        <v>0</v>
      </c>
      <c r="AD101" s="8">
        <f t="shared" si="7"/>
        <v>0</v>
      </c>
      <c r="AE101" s="8">
        <f t="shared" si="7"/>
        <v>0</v>
      </c>
      <c r="AF101" s="8">
        <f t="shared" si="7"/>
        <v>0</v>
      </c>
      <c r="AG101" s="8">
        <f t="shared" si="7"/>
        <v>0</v>
      </c>
      <c r="AH101" s="8">
        <f t="shared" si="7"/>
        <v>0</v>
      </c>
    </row>
    <row r="102" spans="1:34" x14ac:dyDescent="0.45">
      <c r="A102" s="8" t="s">
        <v>132</v>
      </c>
      <c r="D102" s="8">
        <f t="shared" si="5"/>
        <v>0</v>
      </c>
      <c r="E102" s="8">
        <f t="shared" si="5"/>
        <v>0</v>
      </c>
      <c r="F102" s="8">
        <f t="shared" si="5"/>
        <v>0</v>
      </c>
      <c r="G102" s="8">
        <f t="shared" si="5"/>
        <v>0</v>
      </c>
      <c r="H102" s="8">
        <f t="shared" si="5"/>
        <v>0</v>
      </c>
      <c r="I102" s="8">
        <f t="shared" si="5"/>
        <v>0</v>
      </c>
      <c r="J102" s="8">
        <f t="shared" si="5"/>
        <v>0</v>
      </c>
      <c r="K102" s="8">
        <f t="shared" si="5"/>
        <v>0</v>
      </c>
      <c r="L102" s="8">
        <f t="shared" si="5"/>
        <v>0</v>
      </c>
      <c r="M102" s="8">
        <f t="shared" si="5"/>
        <v>0</v>
      </c>
      <c r="N102" s="8">
        <f t="shared" si="6"/>
        <v>0</v>
      </c>
      <c r="O102" s="8">
        <f t="shared" si="6"/>
        <v>0</v>
      </c>
      <c r="P102" s="8">
        <f t="shared" si="6"/>
        <v>0</v>
      </c>
      <c r="Q102" s="8">
        <f t="shared" si="6"/>
        <v>0</v>
      </c>
      <c r="R102" s="8">
        <f t="shared" si="6"/>
        <v>0</v>
      </c>
      <c r="S102" s="8">
        <f t="shared" si="6"/>
        <v>0</v>
      </c>
      <c r="T102" s="8">
        <f t="shared" si="6"/>
        <v>0</v>
      </c>
      <c r="U102" s="8">
        <f t="shared" si="6"/>
        <v>0</v>
      </c>
      <c r="V102" s="8">
        <f t="shared" si="6"/>
        <v>0</v>
      </c>
      <c r="W102" s="8">
        <f t="shared" si="6"/>
        <v>0</v>
      </c>
      <c r="X102" s="8">
        <f t="shared" si="7"/>
        <v>0</v>
      </c>
      <c r="Y102" s="8">
        <f t="shared" si="7"/>
        <v>0</v>
      </c>
      <c r="Z102" s="8">
        <f t="shared" si="7"/>
        <v>0</v>
      </c>
      <c r="AA102" s="8">
        <f t="shared" si="7"/>
        <v>0</v>
      </c>
      <c r="AB102" s="8">
        <f t="shared" si="7"/>
        <v>0</v>
      </c>
      <c r="AC102" s="8">
        <f t="shared" si="7"/>
        <v>0</v>
      </c>
      <c r="AD102" s="8">
        <f t="shared" si="7"/>
        <v>0</v>
      </c>
      <c r="AE102" s="8">
        <f t="shared" si="7"/>
        <v>0</v>
      </c>
      <c r="AF102" s="8">
        <f t="shared" si="7"/>
        <v>0</v>
      </c>
      <c r="AG102" s="8">
        <f t="shared" si="7"/>
        <v>0</v>
      </c>
      <c r="AH102" s="8">
        <f t="shared" si="7"/>
        <v>0</v>
      </c>
    </row>
    <row r="103" spans="1:34" x14ac:dyDescent="0.45">
      <c r="A103" s="8" t="s">
        <v>136</v>
      </c>
      <c r="D103" s="8">
        <f t="shared" si="5"/>
        <v>0</v>
      </c>
      <c r="E103" s="8">
        <f t="shared" si="5"/>
        <v>0</v>
      </c>
      <c r="F103" s="8">
        <f t="shared" si="5"/>
        <v>0</v>
      </c>
      <c r="G103" s="8">
        <f t="shared" si="5"/>
        <v>0</v>
      </c>
      <c r="H103" s="8">
        <f t="shared" si="5"/>
        <v>0</v>
      </c>
      <c r="I103" s="8">
        <f t="shared" si="5"/>
        <v>0</v>
      </c>
      <c r="J103" s="8">
        <f t="shared" si="5"/>
        <v>0</v>
      </c>
      <c r="K103" s="8">
        <f t="shared" si="5"/>
        <v>0</v>
      </c>
      <c r="L103" s="8">
        <f t="shared" si="5"/>
        <v>0</v>
      </c>
      <c r="M103" s="8">
        <f t="shared" si="5"/>
        <v>0</v>
      </c>
      <c r="N103" s="8">
        <f t="shared" si="6"/>
        <v>0</v>
      </c>
      <c r="O103" s="8">
        <f t="shared" si="6"/>
        <v>0</v>
      </c>
      <c r="P103" s="8">
        <f t="shared" si="6"/>
        <v>0</v>
      </c>
      <c r="Q103" s="8">
        <f t="shared" si="6"/>
        <v>0</v>
      </c>
      <c r="R103" s="8">
        <f t="shared" si="6"/>
        <v>0</v>
      </c>
      <c r="S103" s="8">
        <f t="shared" si="6"/>
        <v>0</v>
      </c>
      <c r="T103" s="8">
        <f t="shared" si="6"/>
        <v>0</v>
      </c>
      <c r="U103" s="8">
        <f t="shared" si="6"/>
        <v>0</v>
      </c>
      <c r="V103" s="8">
        <f t="shared" si="6"/>
        <v>0</v>
      </c>
      <c r="W103" s="8">
        <f t="shared" si="6"/>
        <v>0</v>
      </c>
      <c r="X103" s="8">
        <f t="shared" si="7"/>
        <v>0</v>
      </c>
      <c r="Y103" s="8">
        <f t="shared" si="7"/>
        <v>0</v>
      </c>
      <c r="Z103" s="8">
        <f t="shared" si="7"/>
        <v>0</v>
      </c>
      <c r="AA103" s="8">
        <f t="shared" si="7"/>
        <v>0</v>
      </c>
      <c r="AB103" s="8">
        <f t="shared" si="7"/>
        <v>0</v>
      </c>
      <c r="AC103" s="8">
        <f t="shared" si="7"/>
        <v>0</v>
      </c>
      <c r="AD103" s="8">
        <f t="shared" si="7"/>
        <v>0</v>
      </c>
      <c r="AE103" s="8">
        <f t="shared" si="7"/>
        <v>0</v>
      </c>
      <c r="AF103" s="8">
        <f t="shared" si="7"/>
        <v>0</v>
      </c>
      <c r="AG103" s="8">
        <f t="shared" si="7"/>
        <v>0</v>
      </c>
      <c r="AH103" s="8">
        <f t="shared" si="7"/>
        <v>0</v>
      </c>
    </row>
    <row r="104" spans="1:34" x14ac:dyDescent="0.45">
      <c r="A104" s="8" t="s">
        <v>139</v>
      </c>
      <c r="D104" s="8">
        <f t="shared" si="5"/>
        <v>0</v>
      </c>
      <c r="E104" s="8">
        <f t="shared" si="5"/>
        <v>0</v>
      </c>
      <c r="F104" s="8">
        <f t="shared" si="5"/>
        <v>0</v>
      </c>
      <c r="G104" s="8">
        <f t="shared" si="5"/>
        <v>0</v>
      </c>
      <c r="H104" s="8">
        <f t="shared" si="5"/>
        <v>0</v>
      </c>
      <c r="I104" s="8">
        <f t="shared" si="5"/>
        <v>0</v>
      </c>
      <c r="J104" s="8">
        <f t="shared" si="5"/>
        <v>0</v>
      </c>
      <c r="K104" s="8">
        <f t="shared" si="5"/>
        <v>0</v>
      </c>
      <c r="L104" s="8">
        <f t="shared" si="5"/>
        <v>0</v>
      </c>
      <c r="M104" s="8">
        <f t="shared" si="5"/>
        <v>0</v>
      </c>
      <c r="N104" s="8">
        <f t="shared" si="6"/>
        <v>0</v>
      </c>
      <c r="O104" s="8">
        <f t="shared" si="6"/>
        <v>0</v>
      </c>
      <c r="P104" s="8">
        <f t="shared" si="6"/>
        <v>0</v>
      </c>
      <c r="Q104" s="8">
        <f t="shared" si="6"/>
        <v>0</v>
      </c>
      <c r="R104" s="8">
        <f t="shared" si="6"/>
        <v>0</v>
      </c>
      <c r="S104" s="8">
        <f t="shared" si="6"/>
        <v>0</v>
      </c>
      <c r="T104" s="8">
        <f t="shared" si="6"/>
        <v>0</v>
      </c>
      <c r="U104" s="8">
        <f t="shared" si="6"/>
        <v>0</v>
      </c>
      <c r="V104" s="8">
        <f t="shared" si="6"/>
        <v>0</v>
      </c>
      <c r="W104" s="8">
        <f t="shared" si="6"/>
        <v>0</v>
      </c>
      <c r="X104" s="8">
        <f t="shared" si="7"/>
        <v>0</v>
      </c>
      <c r="Y104" s="8">
        <f t="shared" si="7"/>
        <v>0</v>
      </c>
      <c r="Z104" s="8">
        <f t="shared" si="7"/>
        <v>0</v>
      </c>
      <c r="AA104" s="8">
        <f t="shared" si="7"/>
        <v>0</v>
      </c>
      <c r="AB104" s="8">
        <f t="shared" si="7"/>
        <v>0</v>
      </c>
      <c r="AC104" s="8">
        <f t="shared" si="7"/>
        <v>0</v>
      </c>
      <c r="AD104" s="8">
        <f t="shared" si="7"/>
        <v>0</v>
      </c>
      <c r="AE104" s="8">
        <f t="shared" si="7"/>
        <v>0</v>
      </c>
      <c r="AF104" s="8">
        <f t="shared" si="7"/>
        <v>0</v>
      </c>
      <c r="AG104" s="8">
        <f t="shared" si="7"/>
        <v>0</v>
      </c>
      <c r="AH104" s="8">
        <f t="shared" si="7"/>
        <v>0</v>
      </c>
    </row>
    <row r="105" spans="1:34" x14ac:dyDescent="0.45">
      <c r="A105" s="8" t="s">
        <v>144</v>
      </c>
      <c r="D105" s="8">
        <f t="shared" si="5"/>
        <v>0</v>
      </c>
      <c r="E105" s="8">
        <f t="shared" si="5"/>
        <v>0</v>
      </c>
      <c r="F105" s="8">
        <f t="shared" si="5"/>
        <v>0</v>
      </c>
      <c r="G105" s="8">
        <f t="shared" si="5"/>
        <v>0</v>
      </c>
      <c r="H105" s="8">
        <f t="shared" si="5"/>
        <v>0</v>
      </c>
      <c r="I105" s="8">
        <f t="shared" si="5"/>
        <v>0</v>
      </c>
      <c r="J105" s="8">
        <f t="shared" si="5"/>
        <v>0</v>
      </c>
      <c r="K105" s="8">
        <f t="shared" si="5"/>
        <v>0</v>
      </c>
      <c r="L105" s="8">
        <f t="shared" si="5"/>
        <v>0</v>
      </c>
      <c r="M105" s="8">
        <f t="shared" si="5"/>
        <v>0</v>
      </c>
      <c r="N105" s="8">
        <f t="shared" si="6"/>
        <v>0</v>
      </c>
      <c r="O105" s="8">
        <f t="shared" si="6"/>
        <v>0</v>
      </c>
      <c r="P105" s="8">
        <f t="shared" si="6"/>
        <v>0</v>
      </c>
      <c r="Q105" s="8">
        <f t="shared" si="6"/>
        <v>0</v>
      </c>
      <c r="R105" s="8">
        <f t="shared" si="6"/>
        <v>0</v>
      </c>
      <c r="S105" s="8">
        <f t="shared" si="6"/>
        <v>0</v>
      </c>
      <c r="T105" s="8">
        <f t="shared" si="6"/>
        <v>0</v>
      </c>
      <c r="U105" s="8">
        <f t="shared" si="6"/>
        <v>0</v>
      </c>
      <c r="V105" s="8">
        <f t="shared" si="6"/>
        <v>0</v>
      </c>
      <c r="W105" s="8">
        <f t="shared" si="6"/>
        <v>0</v>
      </c>
      <c r="X105" s="8">
        <f t="shared" si="7"/>
        <v>0</v>
      </c>
      <c r="Y105" s="8">
        <f t="shared" si="7"/>
        <v>0</v>
      </c>
      <c r="Z105" s="8">
        <f t="shared" si="7"/>
        <v>0</v>
      </c>
      <c r="AA105" s="8">
        <f t="shared" si="7"/>
        <v>0</v>
      </c>
      <c r="AB105" s="8">
        <f t="shared" si="7"/>
        <v>0</v>
      </c>
      <c r="AC105" s="8">
        <f t="shared" si="7"/>
        <v>0</v>
      </c>
      <c r="AD105" s="8">
        <f t="shared" si="7"/>
        <v>0</v>
      </c>
      <c r="AE105" s="8">
        <f t="shared" si="7"/>
        <v>0</v>
      </c>
      <c r="AF105" s="8">
        <f t="shared" si="7"/>
        <v>0</v>
      </c>
      <c r="AG105" s="8">
        <f t="shared" si="7"/>
        <v>0</v>
      </c>
      <c r="AH105" s="8">
        <f t="shared" si="7"/>
        <v>0</v>
      </c>
    </row>
    <row r="106" spans="1:34" x14ac:dyDescent="0.45">
      <c r="A106" s="8" t="s">
        <v>149</v>
      </c>
      <c r="D106" s="8">
        <f t="shared" si="5"/>
        <v>0</v>
      </c>
      <c r="E106" s="8">
        <f t="shared" si="5"/>
        <v>0</v>
      </c>
      <c r="F106" s="8">
        <f t="shared" si="5"/>
        <v>0</v>
      </c>
      <c r="G106" s="8">
        <f t="shared" si="5"/>
        <v>0</v>
      </c>
      <c r="H106" s="8">
        <f t="shared" si="5"/>
        <v>0</v>
      </c>
      <c r="I106" s="8">
        <f t="shared" si="5"/>
        <v>0</v>
      </c>
      <c r="J106" s="8">
        <f t="shared" si="5"/>
        <v>0</v>
      </c>
      <c r="K106" s="8">
        <f t="shared" si="5"/>
        <v>0</v>
      </c>
      <c r="L106" s="8">
        <f t="shared" si="5"/>
        <v>0</v>
      </c>
      <c r="M106" s="8">
        <f t="shared" si="5"/>
        <v>0</v>
      </c>
      <c r="N106" s="8">
        <f t="shared" si="6"/>
        <v>0</v>
      </c>
      <c r="O106" s="8">
        <f t="shared" si="6"/>
        <v>0</v>
      </c>
      <c r="P106" s="8">
        <f t="shared" si="6"/>
        <v>0</v>
      </c>
      <c r="Q106" s="8">
        <f t="shared" si="6"/>
        <v>0</v>
      </c>
      <c r="R106" s="8">
        <f t="shared" si="6"/>
        <v>0</v>
      </c>
      <c r="S106" s="8">
        <f t="shared" si="6"/>
        <v>0</v>
      </c>
      <c r="T106" s="8">
        <f t="shared" si="6"/>
        <v>0</v>
      </c>
      <c r="U106" s="8">
        <f t="shared" si="6"/>
        <v>0</v>
      </c>
      <c r="V106" s="8">
        <f t="shared" si="6"/>
        <v>0</v>
      </c>
      <c r="W106" s="8">
        <f t="shared" si="6"/>
        <v>0</v>
      </c>
      <c r="X106" s="8">
        <f t="shared" si="7"/>
        <v>0</v>
      </c>
      <c r="Y106" s="8">
        <f t="shared" si="7"/>
        <v>0</v>
      </c>
      <c r="Z106" s="8">
        <f t="shared" si="7"/>
        <v>0</v>
      </c>
      <c r="AA106" s="8">
        <f t="shared" si="7"/>
        <v>0</v>
      </c>
      <c r="AB106" s="8">
        <f t="shared" si="7"/>
        <v>0</v>
      </c>
      <c r="AC106" s="8">
        <f t="shared" si="7"/>
        <v>0</v>
      </c>
      <c r="AD106" s="8">
        <f t="shared" si="7"/>
        <v>0</v>
      </c>
      <c r="AE106" s="8">
        <f t="shared" si="7"/>
        <v>0</v>
      </c>
      <c r="AF106" s="8">
        <f t="shared" si="7"/>
        <v>0</v>
      </c>
      <c r="AG106" s="8">
        <f t="shared" si="7"/>
        <v>0</v>
      </c>
      <c r="AH106" s="8">
        <f t="shared" si="7"/>
        <v>0</v>
      </c>
    </row>
    <row r="107" spans="1:34" x14ac:dyDescent="0.45">
      <c r="A107" s="8" t="s">
        <v>155</v>
      </c>
      <c r="D107" s="8">
        <f t="shared" si="5"/>
        <v>0</v>
      </c>
      <c r="E107" s="8">
        <f t="shared" si="5"/>
        <v>0</v>
      </c>
      <c r="F107" s="8">
        <f t="shared" si="5"/>
        <v>0</v>
      </c>
      <c r="G107" s="8">
        <f t="shared" si="5"/>
        <v>0</v>
      </c>
      <c r="H107" s="8">
        <f t="shared" si="5"/>
        <v>0</v>
      </c>
      <c r="I107" s="8">
        <f t="shared" si="5"/>
        <v>0</v>
      </c>
      <c r="J107" s="8">
        <f t="shared" si="5"/>
        <v>0</v>
      </c>
      <c r="K107" s="8">
        <f t="shared" si="5"/>
        <v>0</v>
      </c>
      <c r="L107" s="8">
        <f t="shared" si="5"/>
        <v>0</v>
      </c>
      <c r="M107" s="8">
        <f t="shared" si="5"/>
        <v>0</v>
      </c>
      <c r="N107" s="8">
        <f t="shared" si="6"/>
        <v>0</v>
      </c>
      <c r="O107" s="8">
        <f t="shared" si="6"/>
        <v>0</v>
      </c>
      <c r="P107" s="8">
        <f t="shared" si="6"/>
        <v>0</v>
      </c>
      <c r="Q107" s="8">
        <f t="shared" si="6"/>
        <v>0</v>
      </c>
      <c r="R107" s="8">
        <f t="shared" si="6"/>
        <v>0</v>
      </c>
      <c r="S107" s="8">
        <f t="shared" si="6"/>
        <v>0</v>
      </c>
      <c r="T107" s="8">
        <f t="shared" si="6"/>
        <v>0</v>
      </c>
      <c r="U107" s="8">
        <f t="shared" si="6"/>
        <v>0</v>
      </c>
      <c r="V107" s="8">
        <f t="shared" si="6"/>
        <v>0</v>
      </c>
      <c r="W107" s="8">
        <f t="shared" si="6"/>
        <v>0</v>
      </c>
      <c r="X107" s="8">
        <f t="shared" si="7"/>
        <v>0</v>
      </c>
      <c r="Y107" s="8">
        <f t="shared" si="7"/>
        <v>0</v>
      </c>
      <c r="Z107" s="8">
        <f t="shared" si="7"/>
        <v>0</v>
      </c>
      <c r="AA107" s="8">
        <f t="shared" si="7"/>
        <v>0</v>
      </c>
      <c r="AB107" s="8">
        <f t="shared" si="7"/>
        <v>0</v>
      </c>
      <c r="AC107" s="8">
        <f t="shared" si="7"/>
        <v>0</v>
      </c>
      <c r="AD107" s="8">
        <f t="shared" si="7"/>
        <v>0</v>
      </c>
      <c r="AE107" s="8">
        <f t="shared" si="7"/>
        <v>0</v>
      </c>
      <c r="AF107" s="8">
        <f t="shared" si="7"/>
        <v>0</v>
      </c>
      <c r="AG107" s="8">
        <f t="shared" si="7"/>
        <v>0</v>
      </c>
      <c r="AH107" s="8">
        <f t="shared" si="7"/>
        <v>0</v>
      </c>
    </row>
    <row r="108" spans="1:34" x14ac:dyDescent="0.45">
      <c r="A108" s="8" t="s">
        <v>158</v>
      </c>
      <c r="D108" s="8">
        <f t="shared" si="5"/>
        <v>0</v>
      </c>
      <c r="E108" s="8">
        <f t="shared" si="5"/>
        <v>0</v>
      </c>
      <c r="F108" s="8">
        <f t="shared" si="5"/>
        <v>0</v>
      </c>
      <c r="G108" s="8">
        <f t="shared" si="5"/>
        <v>0</v>
      </c>
      <c r="H108" s="8">
        <f t="shared" si="5"/>
        <v>0</v>
      </c>
      <c r="I108" s="8">
        <f t="shared" si="5"/>
        <v>0</v>
      </c>
      <c r="J108" s="8">
        <f t="shared" si="5"/>
        <v>0</v>
      </c>
      <c r="K108" s="8">
        <f t="shared" si="5"/>
        <v>0</v>
      </c>
      <c r="L108" s="8">
        <f t="shared" si="5"/>
        <v>0</v>
      </c>
      <c r="M108" s="8">
        <f t="shared" si="5"/>
        <v>0</v>
      </c>
      <c r="N108" s="8">
        <f t="shared" si="6"/>
        <v>0</v>
      </c>
      <c r="O108" s="8">
        <f t="shared" si="6"/>
        <v>0</v>
      </c>
      <c r="P108" s="8">
        <f t="shared" si="6"/>
        <v>0</v>
      </c>
      <c r="Q108" s="8">
        <f t="shared" si="6"/>
        <v>0</v>
      </c>
      <c r="R108" s="8">
        <f t="shared" si="6"/>
        <v>0</v>
      </c>
      <c r="S108" s="8">
        <f t="shared" si="6"/>
        <v>0</v>
      </c>
      <c r="T108" s="8">
        <f t="shared" si="6"/>
        <v>0</v>
      </c>
      <c r="U108" s="8">
        <f t="shared" si="6"/>
        <v>0</v>
      </c>
      <c r="V108" s="8">
        <f t="shared" si="6"/>
        <v>0</v>
      </c>
      <c r="W108" s="8">
        <f t="shared" si="6"/>
        <v>0</v>
      </c>
      <c r="X108" s="8">
        <f t="shared" si="7"/>
        <v>0</v>
      </c>
      <c r="Y108" s="8">
        <f t="shared" si="7"/>
        <v>0</v>
      </c>
      <c r="Z108" s="8">
        <f t="shared" si="7"/>
        <v>0</v>
      </c>
      <c r="AA108" s="8">
        <f t="shared" si="7"/>
        <v>0</v>
      </c>
      <c r="AB108" s="8">
        <f t="shared" si="7"/>
        <v>0</v>
      </c>
      <c r="AC108" s="8">
        <f t="shared" si="7"/>
        <v>0</v>
      </c>
      <c r="AD108" s="8">
        <f t="shared" si="7"/>
        <v>0</v>
      </c>
      <c r="AE108" s="8">
        <f t="shared" si="7"/>
        <v>0</v>
      </c>
      <c r="AF108" s="8">
        <f t="shared" si="7"/>
        <v>0</v>
      </c>
      <c r="AG108" s="8">
        <f t="shared" si="7"/>
        <v>0</v>
      </c>
      <c r="AH108" s="8">
        <f t="shared" si="7"/>
        <v>0</v>
      </c>
    </row>
    <row r="110" spans="1:34" x14ac:dyDescent="0.45">
      <c r="A110" s="7" t="s">
        <v>271</v>
      </c>
    </row>
    <row r="111" spans="1:34" x14ac:dyDescent="0.45">
      <c r="A111" s="8" t="s">
        <v>107</v>
      </c>
      <c r="D111" s="8">
        <f>IF(AND(D$4=1,D$3&lt;=Paramètres!$B$10,'Suivi Équipes'!$E6&gt;0,D99&gt;='Suivi Équipes'!$E6/Paramètres!$B$9),1,0)</f>
        <v>0</v>
      </c>
      <c r="E111" s="8">
        <f>IF(AND(E$4=1,E$3&lt;=Paramètres!$B$10,'Suivi Équipes'!$E6&gt;0,E99&gt;='Suivi Équipes'!$E6/Paramètres!$B$9),1,0)</f>
        <v>0</v>
      </c>
      <c r="F111" s="8">
        <f>IF(AND(F$4=1,F$3&lt;=Paramètres!$B$10,'Suivi Équipes'!$E6&gt;0,F99&gt;='Suivi Équipes'!$E6/Paramètres!$B$9),1,0)</f>
        <v>0</v>
      </c>
      <c r="G111" s="8">
        <f>IF(AND(G$4=1,G$3&lt;=Paramètres!$B$10,'Suivi Équipes'!$E6&gt;0,G99&gt;='Suivi Équipes'!$E6/Paramètres!$B$9),1,0)</f>
        <v>0</v>
      </c>
      <c r="H111" s="8">
        <f>IF(AND(H$4=1,H$3&lt;=Paramètres!$B$10,'Suivi Équipes'!$E6&gt;0,H99&gt;='Suivi Équipes'!$E6/Paramètres!$B$9),1,0)</f>
        <v>0</v>
      </c>
      <c r="I111" s="8">
        <f>IF(AND(I$4=1,I$3&lt;=Paramètres!$B$10,'Suivi Équipes'!$E6&gt;0,I99&gt;='Suivi Équipes'!$E6/Paramètres!$B$9),1,0)</f>
        <v>0</v>
      </c>
      <c r="J111" s="8">
        <f>IF(AND(J$4=1,J$3&lt;=Paramètres!$B$10,'Suivi Équipes'!$E6&gt;0,J99&gt;='Suivi Équipes'!$E6/Paramètres!$B$9),1,0)</f>
        <v>0</v>
      </c>
      <c r="K111" s="8">
        <f>IF(AND(K$4=1,K$3&lt;=Paramètres!$B$10,'Suivi Équipes'!$E6&gt;0,K99&gt;='Suivi Équipes'!$E6/Paramètres!$B$9),1,0)</f>
        <v>0</v>
      </c>
      <c r="L111" s="8">
        <f>IF(AND(L$4=1,L$3&lt;=Paramètres!$B$10,'Suivi Équipes'!$E6&gt;0,L99&gt;='Suivi Équipes'!$E6/Paramètres!$B$9),1,0)</f>
        <v>0</v>
      </c>
      <c r="M111" s="8">
        <f>IF(AND(M$4=1,M$3&lt;=Paramètres!$B$10,'Suivi Équipes'!$E6&gt;0,M99&gt;='Suivi Équipes'!$E6/Paramètres!$B$9),1,0)</f>
        <v>0</v>
      </c>
      <c r="N111" s="8">
        <f>IF(AND(N$4=1,N$3&lt;=Paramètres!$B$10,'Suivi Équipes'!$E6&gt;0,N99&gt;='Suivi Équipes'!$E6/Paramètres!$B$9),1,0)</f>
        <v>0</v>
      </c>
      <c r="O111" s="8">
        <f>IF(AND(O$4=1,O$3&lt;=Paramètres!$B$10,'Suivi Équipes'!$E6&gt;0,O99&gt;='Suivi Équipes'!$E6/Paramètres!$B$9),1,0)</f>
        <v>0</v>
      </c>
      <c r="P111" s="8">
        <f>IF(AND(P$4=1,P$3&lt;=Paramètres!$B$10,'Suivi Équipes'!$E6&gt;0,P99&gt;='Suivi Équipes'!$E6/Paramètres!$B$9),1,0)</f>
        <v>0</v>
      </c>
      <c r="Q111" s="8">
        <f>IF(AND(Q$4=1,Q$3&lt;=Paramètres!$B$10,'Suivi Équipes'!$E6&gt;0,Q99&gt;='Suivi Équipes'!$E6/Paramètres!$B$9),1,0)</f>
        <v>0</v>
      </c>
      <c r="R111" s="8">
        <f>IF(AND(R$4=1,R$3&lt;=Paramètres!$B$10,'Suivi Équipes'!$E6&gt;0,R99&gt;='Suivi Équipes'!$E6/Paramètres!$B$9),1,0)</f>
        <v>0</v>
      </c>
      <c r="S111" s="8">
        <f>IF(AND(S$4=1,S$3&lt;=Paramètres!$B$10,'Suivi Équipes'!$E6&gt;0,S99&gt;='Suivi Équipes'!$E6/Paramètres!$B$9),1,0)</f>
        <v>0</v>
      </c>
      <c r="T111" s="8">
        <f>IF(AND(T$4=1,T$3&lt;=Paramètres!$B$10,'Suivi Équipes'!$E6&gt;0,T99&gt;='Suivi Équipes'!$E6/Paramètres!$B$9),1,0)</f>
        <v>0</v>
      </c>
      <c r="U111" s="8">
        <f>IF(AND(U$4=1,U$3&lt;=Paramètres!$B$10,'Suivi Équipes'!$E6&gt;0,U99&gt;='Suivi Équipes'!$E6/Paramètres!$B$9),1,0)</f>
        <v>0</v>
      </c>
      <c r="V111" s="8">
        <f>IF(AND(V$4=1,V$3&lt;=Paramètres!$B$10,'Suivi Équipes'!$E6&gt;0,V99&gt;='Suivi Équipes'!$E6/Paramètres!$B$9),1,0)</f>
        <v>0</v>
      </c>
      <c r="W111" s="8">
        <f>IF(AND(W$4=1,W$3&lt;=Paramètres!$B$10,'Suivi Équipes'!$E6&gt;0,W99&gt;='Suivi Équipes'!$E6/Paramètres!$B$9),1,0)</f>
        <v>0</v>
      </c>
      <c r="X111" s="8">
        <f>IF(AND(X$4=1,X$3&lt;=Paramètres!$B$10,'Suivi Équipes'!$E6&gt;0,X99&gt;='Suivi Équipes'!$E6/Paramètres!$B$9),1,0)</f>
        <v>0</v>
      </c>
      <c r="Y111" s="8">
        <f>IF(AND(Y$4=1,Y$3&lt;=Paramètres!$B$10,'Suivi Équipes'!$E6&gt;0,Y99&gt;='Suivi Équipes'!$E6/Paramètres!$B$9),1,0)</f>
        <v>0</v>
      </c>
      <c r="Z111" s="8">
        <f>IF(AND(Z$4=1,Z$3&lt;=Paramètres!$B$10,'Suivi Équipes'!$E6&gt;0,Z99&gt;='Suivi Équipes'!$E6/Paramètres!$B$9),1,0)</f>
        <v>0</v>
      </c>
      <c r="AA111" s="8">
        <f>IF(AND(AA$4=1,AA$3&lt;=Paramètres!$B$10,'Suivi Équipes'!$E6&gt;0,AA99&gt;='Suivi Équipes'!$E6/Paramètres!$B$9),1,0)</f>
        <v>0</v>
      </c>
      <c r="AB111" s="8">
        <f>IF(AND(AB$4=1,AB$3&lt;=Paramètres!$B$10,'Suivi Équipes'!$E6&gt;0,AB99&gt;='Suivi Équipes'!$E6/Paramètres!$B$9),1,0)</f>
        <v>0</v>
      </c>
      <c r="AC111" s="8">
        <f>IF(AND(AC$4=1,AC$3&lt;=Paramètres!$B$10,'Suivi Équipes'!$E6&gt;0,AC99&gt;='Suivi Équipes'!$E6/Paramètres!$B$9),1,0)</f>
        <v>0</v>
      </c>
      <c r="AD111" s="8">
        <f>IF(AND(AD$4=1,AD$3&lt;=Paramètres!$B$10,'Suivi Équipes'!$E6&gt;0,AD99&gt;='Suivi Équipes'!$E6/Paramètres!$B$9),1,0)</f>
        <v>0</v>
      </c>
      <c r="AE111" s="8">
        <f>IF(AND(AE$4=1,AE$3&lt;=Paramètres!$B$10,'Suivi Équipes'!$E6&gt;0,AE99&gt;='Suivi Équipes'!$E6/Paramètres!$B$9),1,0)</f>
        <v>0</v>
      </c>
      <c r="AF111" s="8">
        <f>IF(AND(AF$4=1,AF$3&lt;=Paramètres!$B$10,'Suivi Équipes'!$E6&gt;0,AF99&gt;='Suivi Équipes'!$E6/Paramètres!$B$9),1,0)</f>
        <v>0</v>
      </c>
      <c r="AG111" s="8">
        <f>IF(AND(AG$4=1,AG$3&lt;=Paramètres!$B$10,'Suivi Équipes'!$E6&gt;0,AG99&gt;='Suivi Équipes'!$E6/Paramètres!$B$9),1,0)</f>
        <v>0</v>
      </c>
      <c r="AH111" s="8">
        <f>IF(AND(AH$4=1,AH$3&lt;=Paramètres!$B$10,'Suivi Équipes'!$E6&gt;0,AH99&gt;='Suivi Équipes'!$E6/Paramètres!$B$9),1,0)</f>
        <v>0</v>
      </c>
    </row>
    <row r="112" spans="1:34" x14ac:dyDescent="0.45">
      <c r="A112" s="8" t="s">
        <v>123</v>
      </c>
      <c r="D112" s="8">
        <f>IF(AND(D$4=1,D$3&lt;=Paramètres!$B$10,'Suivi Équipes'!$E7&gt;0,D100&gt;='Suivi Équipes'!$E7/Paramètres!$B$9),1,0)</f>
        <v>0</v>
      </c>
      <c r="E112" s="8">
        <f>IF(AND(E$4=1,E$3&lt;=Paramètres!$B$10,'Suivi Équipes'!$E7&gt;0,E100&gt;='Suivi Équipes'!$E7/Paramètres!$B$9),1,0)</f>
        <v>0</v>
      </c>
      <c r="F112" s="8">
        <f>IF(AND(F$4=1,F$3&lt;=Paramètres!$B$10,'Suivi Équipes'!$E7&gt;0,F100&gt;='Suivi Équipes'!$E7/Paramètres!$B$9),1,0)</f>
        <v>0</v>
      </c>
      <c r="G112" s="8">
        <f>IF(AND(G$4=1,G$3&lt;=Paramètres!$B$10,'Suivi Équipes'!$E7&gt;0,G100&gt;='Suivi Équipes'!$E7/Paramètres!$B$9),1,0)</f>
        <v>0</v>
      </c>
      <c r="H112" s="8">
        <f>IF(AND(H$4=1,H$3&lt;=Paramètres!$B$10,'Suivi Équipes'!$E7&gt;0,H100&gt;='Suivi Équipes'!$E7/Paramètres!$B$9),1,0)</f>
        <v>0</v>
      </c>
      <c r="I112" s="8">
        <f>IF(AND(I$4=1,I$3&lt;=Paramètres!$B$10,'Suivi Équipes'!$E7&gt;0,I100&gt;='Suivi Équipes'!$E7/Paramètres!$B$9),1,0)</f>
        <v>0</v>
      </c>
      <c r="J112" s="8">
        <f>IF(AND(J$4=1,J$3&lt;=Paramètres!$B$10,'Suivi Équipes'!$E7&gt;0,J100&gt;='Suivi Équipes'!$E7/Paramètres!$B$9),1,0)</f>
        <v>0</v>
      </c>
      <c r="K112" s="8">
        <f>IF(AND(K$4=1,K$3&lt;=Paramètres!$B$10,'Suivi Équipes'!$E7&gt;0,K100&gt;='Suivi Équipes'!$E7/Paramètres!$B$9),1,0)</f>
        <v>0</v>
      </c>
      <c r="L112" s="8">
        <f>IF(AND(L$4=1,L$3&lt;=Paramètres!$B$10,'Suivi Équipes'!$E7&gt;0,L100&gt;='Suivi Équipes'!$E7/Paramètres!$B$9),1,0)</f>
        <v>0</v>
      </c>
      <c r="M112" s="8">
        <f>IF(AND(M$4=1,M$3&lt;=Paramètres!$B$10,'Suivi Équipes'!$E7&gt;0,M100&gt;='Suivi Équipes'!$E7/Paramètres!$B$9),1,0)</f>
        <v>0</v>
      </c>
      <c r="N112" s="8">
        <f>IF(AND(N$4=1,N$3&lt;=Paramètres!$B$10,'Suivi Équipes'!$E7&gt;0,N100&gt;='Suivi Équipes'!$E7/Paramètres!$B$9),1,0)</f>
        <v>0</v>
      </c>
      <c r="O112" s="8">
        <f>IF(AND(O$4=1,O$3&lt;=Paramètres!$B$10,'Suivi Équipes'!$E7&gt;0,O100&gt;='Suivi Équipes'!$E7/Paramètres!$B$9),1,0)</f>
        <v>0</v>
      </c>
      <c r="P112" s="8">
        <f>IF(AND(P$4=1,P$3&lt;=Paramètres!$B$10,'Suivi Équipes'!$E7&gt;0,P100&gt;='Suivi Équipes'!$E7/Paramètres!$B$9),1,0)</f>
        <v>0</v>
      </c>
      <c r="Q112" s="8">
        <f>IF(AND(Q$4=1,Q$3&lt;=Paramètres!$B$10,'Suivi Équipes'!$E7&gt;0,Q100&gt;='Suivi Équipes'!$E7/Paramètres!$B$9),1,0)</f>
        <v>0</v>
      </c>
      <c r="R112" s="8">
        <f>IF(AND(R$4=1,R$3&lt;=Paramètres!$B$10,'Suivi Équipes'!$E7&gt;0,R100&gt;='Suivi Équipes'!$E7/Paramètres!$B$9),1,0)</f>
        <v>0</v>
      </c>
      <c r="S112" s="8">
        <f>IF(AND(S$4=1,S$3&lt;=Paramètres!$B$10,'Suivi Équipes'!$E7&gt;0,S100&gt;='Suivi Équipes'!$E7/Paramètres!$B$9),1,0)</f>
        <v>0</v>
      </c>
      <c r="T112" s="8">
        <f>IF(AND(T$4=1,T$3&lt;=Paramètres!$B$10,'Suivi Équipes'!$E7&gt;0,T100&gt;='Suivi Équipes'!$E7/Paramètres!$B$9),1,0)</f>
        <v>0</v>
      </c>
      <c r="U112" s="8">
        <f>IF(AND(U$4=1,U$3&lt;=Paramètres!$B$10,'Suivi Équipes'!$E7&gt;0,U100&gt;='Suivi Équipes'!$E7/Paramètres!$B$9),1,0)</f>
        <v>0</v>
      </c>
      <c r="V112" s="8">
        <f>IF(AND(V$4=1,V$3&lt;=Paramètres!$B$10,'Suivi Équipes'!$E7&gt;0,V100&gt;='Suivi Équipes'!$E7/Paramètres!$B$9),1,0)</f>
        <v>0</v>
      </c>
      <c r="W112" s="8">
        <f>IF(AND(W$4=1,W$3&lt;=Paramètres!$B$10,'Suivi Équipes'!$E7&gt;0,W100&gt;='Suivi Équipes'!$E7/Paramètres!$B$9),1,0)</f>
        <v>0</v>
      </c>
      <c r="X112" s="8">
        <f>IF(AND(X$4=1,X$3&lt;=Paramètres!$B$10,'Suivi Équipes'!$E7&gt;0,X100&gt;='Suivi Équipes'!$E7/Paramètres!$B$9),1,0)</f>
        <v>0</v>
      </c>
      <c r="Y112" s="8">
        <f>IF(AND(Y$4=1,Y$3&lt;=Paramètres!$B$10,'Suivi Équipes'!$E7&gt;0,Y100&gt;='Suivi Équipes'!$E7/Paramètres!$B$9),1,0)</f>
        <v>0</v>
      </c>
      <c r="Z112" s="8">
        <f>IF(AND(Z$4=1,Z$3&lt;=Paramètres!$B$10,'Suivi Équipes'!$E7&gt;0,Z100&gt;='Suivi Équipes'!$E7/Paramètres!$B$9),1,0)</f>
        <v>0</v>
      </c>
      <c r="AA112" s="8">
        <f>IF(AND(AA$4=1,AA$3&lt;=Paramètres!$B$10,'Suivi Équipes'!$E7&gt;0,AA100&gt;='Suivi Équipes'!$E7/Paramètres!$B$9),1,0)</f>
        <v>0</v>
      </c>
      <c r="AB112" s="8">
        <f>IF(AND(AB$4=1,AB$3&lt;=Paramètres!$B$10,'Suivi Équipes'!$E7&gt;0,AB100&gt;='Suivi Équipes'!$E7/Paramètres!$B$9),1,0)</f>
        <v>0</v>
      </c>
      <c r="AC112" s="8">
        <f>IF(AND(AC$4=1,AC$3&lt;=Paramètres!$B$10,'Suivi Équipes'!$E7&gt;0,AC100&gt;='Suivi Équipes'!$E7/Paramètres!$B$9),1,0)</f>
        <v>0</v>
      </c>
      <c r="AD112" s="8">
        <f>IF(AND(AD$4=1,AD$3&lt;=Paramètres!$B$10,'Suivi Équipes'!$E7&gt;0,AD100&gt;='Suivi Équipes'!$E7/Paramètres!$B$9),1,0)</f>
        <v>0</v>
      </c>
      <c r="AE112" s="8">
        <f>IF(AND(AE$4=1,AE$3&lt;=Paramètres!$B$10,'Suivi Équipes'!$E7&gt;0,AE100&gt;='Suivi Équipes'!$E7/Paramètres!$B$9),1,0)</f>
        <v>0</v>
      </c>
      <c r="AF112" s="8">
        <f>IF(AND(AF$4=1,AF$3&lt;=Paramètres!$B$10,'Suivi Équipes'!$E7&gt;0,AF100&gt;='Suivi Équipes'!$E7/Paramètres!$B$9),1,0)</f>
        <v>0</v>
      </c>
      <c r="AG112" s="8">
        <f>IF(AND(AG$4=1,AG$3&lt;=Paramètres!$B$10,'Suivi Équipes'!$E7&gt;0,AG100&gt;='Suivi Équipes'!$E7/Paramètres!$B$9),1,0)</f>
        <v>0</v>
      </c>
      <c r="AH112" s="8">
        <f>IF(AND(AH$4=1,AH$3&lt;=Paramètres!$B$10,'Suivi Équipes'!$E7&gt;0,AH100&gt;='Suivi Équipes'!$E7/Paramètres!$B$9),1,0)</f>
        <v>0</v>
      </c>
    </row>
    <row r="113" spans="1:34" x14ac:dyDescent="0.45">
      <c r="A113" s="8" t="s">
        <v>127</v>
      </c>
      <c r="D113" s="8">
        <f>IF(AND(D$4=1,D$3&lt;=Paramètres!$B$10,'Suivi Équipes'!$E8&gt;0,D101&gt;='Suivi Équipes'!$E8/Paramètres!$B$9),1,0)</f>
        <v>0</v>
      </c>
      <c r="E113" s="8">
        <f>IF(AND(E$4=1,E$3&lt;=Paramètres!$B$10,'Suivi Équipes'!$E8&gt;0,E101&gt;='Suivi Équipes'!$E8/Paramètres!$B$9),1,0)</f>
        <v>0</v>
      </c>
      <c r="F113" s="8">
        <f>IF(AND(F$4=1,F$3&lt;=Paramètres!$B$10,'Suivi Équipes'!$E8&gt;0,F101&gt;='Suivi Équipes'!$E8/Paramètres!$B$9),1,0)</f>
        <v>0</v>
      </c>
      <c r="G113" s="8">
        <f>IF(AND(G$4=1,G$3&lt;=Paramètres!$B$10,'Suivi Équipes'!$E8&gt;0,G101&gt;='Suivi Équipes'!$E8/Paramètres!$B$9),1,0)</f>
        <v>0</v>
      </c>
      <c r="H113" s="8">
        <f>IF(AND(H$4=1,H$3&lt;=Paramètres!$B$10,'Suivi Équipes'!$E8&gt;0,H101&gt;='Suivi Équipes'!$E8/Paramètres!$B$9),1,0)</f>
        <v>0</v>
      </c>
      <c r="I113" s="8">
        <f>IF(AND(I$4=1,I$3&lt;=Paramètres!$B$10,'Suivi Équipes'!$E8&gt;0,I101&gt;='Suivi Équipes'!$E8/Paramètres!$B$9),1,0)</f>
        <v>0</v>
      </c>
      <c r="J113" s="8">
        <f>IF(AND(J$4=1,J$3&lt;=Paramètres!$B$10,'Suivi Équipes'!$E8&gt;0,J101&gt;='Suivi Équipes'!$E8/Paramètres!$B$9),1,0)</f>
        <v>0</v>
      </c>
      <c r="K113" s="8">
        <f>IF(AND(K$4=1,K$3&lt;=Paramètres!$B$10,'Suivi Équipes'!$E8&gt;0,K101&gt;='Suivi Équipes'!$E8/Paramètres!$B$9),1,0)</f>
        <v>0</v>
      </c>
      <c r="L113" s="8">
        <f>IF(AND(L$4=1,L$3&lt;=Paramètres!$B$10,'Suivi Équipes'!$E8&gt;0,L101&gt;='Suivi Équipes'!$E8/Paramètres!$B$9),1,0)</f>
        <v>0</v>
      </c>
      <c r="M113" s="8">
        <f>IF(AND(M$4=1,M$3&lt;=Paramètres!$B$10,'Suivi Équipes'!$E8&gt;0,M101&gt;='Suivi Équipes'!$E8/Paramètres!$B$9),1,0)</f>
        <v>0</v>
      </c>
      <c r="N113" s="8">
        <f>IF(AND(N$4=1,N$3&lt;=Paramètres!$B$10,'Suivi Équipes'!$E8&gt;0,N101&gt;='Suivi Équipes'!$E8/Paramètres!$B$9),1,0)</f>
        <v>0</v>
      </c>
      <c r="O113" s="8">
        <f>IF(AND(O$4=1,O$3&lt;=Paramètres!$B$10,'Suivi Équipes'!$E8&gt;0,O101&gt;='Suivi Équipes'!$E8/Paramètres!$B$9),1,0)</f>
        <v>0</v>
      </c>
      <c r="P113" s="8">
        <f>IF(AND(P$4=1,P$3&lt;=Paramètres!$B$10,'Suivi Équipes'!$E8&gt;0,P101&gt;='Suivi Équipes'!$E8/Paramètres!$B$9),1,0)</f>
        <v>0</v>
      </c>
      <c r="Q113" s="8">
        <f>IF(AND(Q$4=1,Q$3&lt;=Paramètres!$B$10,'Suivi Équipes'!$E8&gt;0,Q101&gt;='Suivi Équipes'!$E8/Paramètres!$B$9),1,0)</f>
        <v>0</v>
      </c>
      <c r="R113" s="8">
        <f>IF(AND(R$4=1,R$3&lt;=Paramètres!$B$10,'Suivi Équipes'!$E8&gt;0,R101&gt;='Suivi Équipes'!$E8/Paramètres!$B$9),1,0)</f>
        <v>0</v>
      </c>
      <c r="S113" s="8">
        <f>IF(AND(S$4=1,S$3&lt;=Paramètres!$B$10,'Suivi Équipes'!$E8&gt;0,S101&gt;='Suivi Équipes'!$E8/Paramètres!$B$9),1,0)</f>
        <v>0</v>
      </c>
      <c r="T113" s="8">
        <f>IF(AND(T$4=1,T$3&lt;=Paramètres!$B$10,'Suivi Équipes'!$E8&gt;0,T101&gt;='Suivi Équipes'!$E8/Paramètres!$B$9),1,0)</f>
        <v>0</v>
      </c>
      <c r="U113" s="8">
        <f>IF(AND(U$4=1,U$3&lt;=Paramètres!$B$10,'Suivi Équipes'!$E8&gt;0,U101&gt;='Suivi Équipes'!$E8/Paramètres!$B$9),1,0)</f>
        <v>0</v>
      </c>
      <c r="V113" s="8">
        <f>IF(AND(V$4=1,V$3&lt;=Paramètres!$B$10,'Suivi Équipes'!$E8&gt;0,V101&gt;='Suivi Équipes'!$E8/Paramètres!$B$9),1,0)</f>
        <v>0</v>
      </c>
      <c r="W113" s="8">
        <f>IF(AND(W$4=1,W$3&lt;=Paramètres!$B$10,'Suivi Équipes'!$E8&gt;0,W101&gt;='Suivi Équipes'!$E8/Paramètres!$B$9),1,0)</f>
        <v>0</v>
      </c>
      <c r="X113" s="8">
        <f>IF(AND(X$4=1,X$3&lt;=Paramètres!$B$10,'Suivi Équipes'!$E8&gt;0,X101&gt;='Suivi Équipes'!$E8/Paramètres!$B$9),1,0)</f>
        <v>0</v>
      </c>
      <c r="Y113" s="8">
        <f>IF(AND(Y$4=1,Y$3&lt;=Paramètres!$B$10,'Suivi Équipes'!$E8&gt;0,Y101&gt;='Suivi Équipes'!$E8/Paramètres!$B$9),1,0)</f>
        <v>0</v>
      </c>
      <c r="Z113" s="8">
        <f>IF(AND(Z$4=1,Z$3&lt;=Paramètres!$B$10,'Suivi Équipes'!$E8&gt;0,Z101&gt;='Suivi Équipes'!$E8/Paramètres!$B$9),1,0)</f>
        <v>0</v>
      </c>
      <c r="AA113" s="8">
        <f>IF(AND(AA$4=1,AA$3&lt;=Paramètres!$B$10,'Suivi Équipes'!$E8&gt;0,AA101&gt;='Suivi Équipes'!$E8/Paramètres!$B$9),1,0)</f>
        <v>0</v>
      </c>
      <c r="AB113" s="8">
        <f>IF(AND(AB$4=1,AB$3&lt;=Paramètres!$B$10,'Suivi Équipes'!$E8&gt;0,AB101&gt;='Suivi Équipes'!$E8/Paramètres!$B$9),1,0)</f>
        <v>0</v>
      </c>
      <c r="AC113" s="8">
        <f>IF(AND(AC$4=1,AC$3&lt;=Paramètres!$B$10,'Suivi Équipes'!$E8&gt;0,AC101&gt;='Suivi Équipes'!$E8/Paramètres!$B$9),1,0)</f>
        <v>0</v>
      </c>
      <c r="AD113" s="8">
        <f>IF(AND(AD$4=1,AD$3&lt;=Paramètres!$B$10,'Suivi Équipes'!$E8&gt;0,AD101&gt;='Suivi Équipes'!$E8/Paramètres!$B$9),1,0)</f>
        <v>0</v>
      </c>
      <c r="AE113" s="8">
        <f>IF(AND(AE$4=1,AE$3&lt;=Paramètres!$B$10,'Suivi Équipes'!$E8&gt;0,AE101&gt;='Suivi Équipes'!$E8/Paramètres!$B$9),1,0)</f>
        <v>0</v>
      </c>
      <c r="AF113" s="8">
        <f>IF(AND(AF$4=1,AF$3&lt;=Paramètres!$B$10,'Suivi Équipes'!$E8&gt;0,AF101&gt;='Suivi Équipes'!$E8/Paramètres!$B$9),1,0)</f>
        <v>0</v>
      </c>
      <c r="AG113" s="8">
        <f>IF(AND(AG$4=1,AG$3&lt;=Paramètres!$B$10,'Suivi Équipes'!$E8&gt;0,AG101&gt;='Suivi Équipes'!$E8/Paramètres!$B$9),1,0)</f>
        <v>0</v>
      </c>
      <c r="AH113" s="8">
        <f>IF(AND(AH$4=1,AH$3&lt;=Paramètres!$B$10,'Suivi Équipes'!$E8&gt;0,AH101&gt;='Suivi Équipes'!$E8/Paramètres!$B$9),1,0)</f>
        <v>0</v>
      </c>
    </row>
    <row r="114" spans="1:34" x14ac:dyDescent="0.45">
      <c r="A114" s="8" t="s">
        <v>132</v>
      </c>
      <c r="D114" s="8">
        <f>IF(AND(D$4=1,D$3&lt;=Paramètres!$B$10,'Suivi Équipes'!$E9&gt;0,D102&gt;='Suivi Équipes'!$E9/Paramètres!$B$9),1,0)</f>
        <v>0</v>
      </c>
      <c r="E114" s="8">
        <f>IF(AND(E$4=1,E$3&lt;=Paramètres!$B$10,'Suivi Équipes'!$E9&gt;0,E102&gt;='Suivi Équipes'!$E9/Paramètres!$B$9),1,0)</f>
        <v>0</v>
      </c>
      <c r="F114" s="8">
        <f>IF(AND(F$4=1,F$3&lt;=Paramètres!$B$10,'Suivi Équipes'!$E9&gt;0,F102&gt;='Suivi Équipes'!$E9/Paramètres!$B$9),1,0)</f>
        <v>0</v>
      </c>
      <c r="G114" s="8">
        <f>IF(AND(G$4=1,G$3&lt;=Paramètres!$B$10,'Suivi Équipes'!$E9&gt;0,G102&gt;='Suivi Équipes'!$E9/Paramètres!$B$9),1,0)</f>
        <v>0</v>
      </c>
      <c r="H114" s="8">
        <f>IF(AND(H$4=1,H$3&lt;=Paramètres!$B$10,'Suivi Équipes'!$E9&gt;0,H102&gt;='Suivi Équipes'!$E9/Paramètres!$B$9),1,0)</f>
        <v>0</v>
      </c>
      <c r="I114" s="8">
        <f>IF(AND(I$4=1,I$3&lt;=Paramètres!$B$10,'Suivi Équipes'!$E9&gt;0,I102&gt;='Suivi Équipes'!$E9/Paramètres!$B$9),1,0)</f>
        <v>0</v>
      </c>
      <c r="J114" s="8">
        <f>IF(AND(J$4=1,J$3&lt;=Paramètres!$B$10,'Suivi Équipes'!$E9&gt;0,J102&gt;='Suivi Équipes'!$E9/Paramètres!$B$9),1,0)</f>
        <v>0</v>
      </c>
      <c r="K114" s="8">
        <f>IF(AND(K$4=1,K$3&lt;=Paramètres!$B$10,'Suivi Équipes'!$E9&gt;0,K102&gt;='Suivi Équipes'!$E9/Paramètres!$B$9),1,0)</f>
        <v>0</v>
      </c>
      <c r="L114" s="8">
        <f>IF(AND(L$4=1,L$3&lt;=Paramètres!$B$10,'Suivi Équipes'!$E9&gt;0,L102&gt;='Suivi Équipes'!$E9/Paramètres!$B$9),1,0)</f>
        <v>0</v>
      </c>
      <c r="M114" s="8">
        <f>IF(AND(M$4=1,M$3&lt;=Paramètres!$B$10,'Suivi Équipes'!$E9&gt;0,M102&gt;='Suivi Équipes'!$E9/Paramètres!$B$9),1,0)</f>
        <v>0</v>
      </c>
      <c r="N114" s="8">
        <f>IF(AND(N$4=1,N$3&lt;=Paramètres!$B$10,'Suivi Équipes'!$E9&gt;0,N102&gt;='Suivi Équipes'!$E9/Paramètres!$B$9),1,0)</f>
        <v>0</v>
      </c>
      <c r="O114" s="8">
        <f>IF(AND(O$4=1,O$3&lt;=Paramètres!$B$10,'Suivi Équipes'!$E9&gt;0,O102&gt;='Suivi Équipes'!$E9/Paramètres!$B$9),1,0)</f>
        <v>0</v>
      </c>
      <c r="P114" s="8">
        <f>IF(AND(P$4=1,P$3&lt;=Paramètres!$B$10,'Suivi Équipes'!$E9&gt;0,P102&gt;='Suivi Équipes'!$E9/Paramètres!$B$9),1,0)</f>
        <v>0</v>
      </c>
      <c r="Q114" s="8">
        <f>IF(AND(Q$4=1,Q$3&lt;=Paramètres!$B$10,'Suivi Équipes'!$E9&gt;0,Q102&gt;='Suivi Équipes'!$E9/Paramètres!$B$9),1,0)</f>
        <v>0</v>
      </c>
      <c r="R114" s="8">
        <f>IF(AND(R$4=1,R$3&lt;=Paramètres!$B$10,'Suivi Équipes'!$E9&gt;0,R102&gt;='Suivi Équipes'!$E9/Paramètres!$B$9),1,0)</f>
        <v>0</v>
      </c>
      <c r="S114" s="8">
        <f>IF(AND(S$4=1,S$3&lt;=Paramètres!$B$10,'Suivi Équipes'!$E9&gt;0,S102&gt;='Suivi Équipes'!$E9/Paramètres!$B$9),1,0)</f>
        <v>0</v>
      </c>
      <c r="T114" s="8">
        <f>IF(AND(T$4=1,T$3&lt;=Paramètres!$B$10,'Suivi Équipes'!$E9&gt;0,T102&gt;='Suivi Équipes'!$E9/Paramètres!$B$9),1,0)</f>
        <v>0</v>
      </c>
      <c r="U114" s="8">
        <f>IF(AND(U$4=1,U$3&lt;=Paramètres!$B$10,'Suivi Équipes'!$E9&gt;0,U102&gt;='Suivi Équipes'!$E9/Paramètres!$B$9),1,0)</f>
        <v>0</v>
      </c>
      <c r="V114" s="8">
        <f>IF(AND(V$4=1,V$3&lt;=Paramètres!$B$10,'Suivi Équipes'!$E9&gt;0,V102&gt;='Suivi Équipes'!$E9/Paramètres!$B$9),1,0)</f>
        <v>0</v>
      </c>
      <c r="W114" s="8">
        <f>IF(AND(W$4=1,W$3&lt;=Paramètres!$B$10,'Suivi Équipes'!$E9&gt;0,W102&gt;='Suivi Équipes'!$E9/Paramètres!$B$9),1,0)</f>
        <v>0</v>
      </c>
      <c r="X114" s="8">
        <f>IF(AND(X$4=1,X$3&lt;=Paramètres!$B$10,'Suivi Équipes'!$E9&gt;0,X102&gt;='Suivi Équipes'!$E9/Paramètres!$B$9),1,0)</f>
        <v>0</v>
      </c>
      <c r="Y114" s="8">
        <f>IF(AND(Y$4=1,Y$3&lt;=Paramètres!$B$10,'Suivi Équipes'!$E9&gt;0,Y102&gt;='Suivi Équipes'!$E9/Paramètres!$B$9),1,0)</f>
        <v>0</v>
      </c>
      <c r="Z114" s="8">
        <f>IF(AND(Z$4=1,Z$3&lt;=Paramètres!$B$10,'Suivi Équipes'!$E9&gt;0,Z102&gt;='Suivi Équipes'!$E9/Paramètres!$B$9),1,0)</f>
        <v>0</v>
      </c>
      <c r="AA114" s="8">
        <f>IF(AND(AA$4=1,AA$3&lt;=Paramètres!$B$10,'Suivi Équipes'!$E9&gt;0,AA102&gt;='Suivi Équipes'!$E9/Paramètres!$B$9),1,0)</f>
        <v>0</v>
      </c>
      <c r="AB114" s="8">
        <f>IF(AND(AB$4=1,AB$3&lt;=Paramètres!$B$10,'Suivi Équipes'!$E9&gt;0,AB102&gt;='Suivi Équipes'!$E9/Paramètres!$B$9),1,0)</f>
        <v>0</v>
      </c>
      <c r="AC114" s="8">
        <f>IF(AND(AC$4=1,AC$3&lt;=Paramètres!$B$10,'Suivi Équipes'!$E9&gt;0,AC102&gt;='Suivi Équipes'!$E9/Paramètres!$B$9),1,0)</f>
        <v>0</v>
      </c>
      <c r="AD114" s="8">
        <f>IF(AND(AD$4=1,AD$3&lt;=Paramètres!$B$10,'Suivi Équipes'!$E9&gt;0,AD102&gt;='Suivi Équipes'!$E9/Paramètres!$B$9),1,0)</f>
        <v>0</v>
      </c>
      <c r="AE114" s="8">
        <f>IF(AND(AE$4=1,AE$3&lt;=Paramètres!$B$10,'Suivi Équipes'!$E9&gt;0,AE102&gt;='Suivi Équipes'!$E9/Paramètres!$B$9),1,0)</f>
        <v>0</v>
      </c>
      <c r="AF114" s="8">
        <f>IF(AND(AF$4=1,AF$3&lt;=Paramètres!$B$10,'Suivi Équipes'!$E9&gt;0,AF102&gt;='Suivi Équipes'!$E9/Paramètres!$B$9),1,0)</f>
        <v>0</v>
      </c>
      <c r="AG114" s="8">
        <f>IF(AND(AG$4=1,AG$3&lt;=Paramètres!$B$10,'Suivi Équipes'!$E9&gt;0,AG102&gt;='Suivi Équipes'!$E9/Paramètres!$B$9),1,0)</f>
        <v>0</v>
      </c>
      <c r="AH114" s="8">
        <f>IF(AND(AH$4=1,AH$3&lt;=Paramètres!$B$10,'Suivi Équipes'!$E9&gt;0,AH102&gt;='Suivi Équipes'!$E9/Paramètres!$B$9),1,0)</f>
        <v>0</v>
      </c>
    </row>
    <row r="115" spans="1:34" x14ac:dyDescent="0.45">
      <c r="A115" s="8" t="s">
        <v>136</v>
      </c>
      <c r="D115" s="8">
        <f>IF(AND(D$4=1,D$3&lt;=Paramètres!$B$10,'Suivi Équipes'!$E10&gt;0,D103&gt;='Suivi Équipes'!$E10/Paramètres!$B$9),1,0)</f>
        <v>0</v>
      </c>
      <c r="E115" s="8">
        <f>IF(AND(E$4=1,E$3&lt;=Paramètres!$B$10,'Suivi Équipes'!$E10&gt;0,E103&gt;='Suivi Équipes'!$E10/Paramètres!$B$9),1,0)</f>
        <v>0</v>
      </c>
      <c r="F115" s="8">
        <f>IF(AND(F$4=1,F$3&lt;=Paramètres!$B$10,'Suivi Équipes'!$E10&gt;0,F103&gt;='Suivi Équipes'!$E10/Paramètres!$B$9),1,0)</f>
        <v>0</v>
      </c>
      <c r="G115" s="8">
        <f>IF(AND(G$4=1,G$3&lt;=Paramètres!$B$10,'Suivi Équipes'!$E10&gt;0,G103&gt;='Suivi Équipes'!$E10/Paramètres!$B$9),1,0)</f>
        <v>0</v>
      </c>
      <c r="H115" s="8">
        <f>IF(AND(H$4=1,H$3&lt;=Paramètres!$B$10,'Suivi Équipes'!$E10&gt;0,H103&gt;='Suivi Équipes'!$E10/Paramètres!$B$9),1,0)</f>
        <v>0</v>
      </c>
      <c r="I115" s="8">
        <f>IF(AND(I$4=1,I$3&lt;=Paramètres!$B$10,'Suivi Équipes'!$E10&gt;0,I103&gt;='Suivi Équipes'!$E10/Paramètres!$B$9),1,0)</f>
        <v>0</v>
      </c>
      <c r="J115" s="8">
        <f>IF(AND(J$4=1,J$3&lt;=Paramètres!$B$10,'Suivi Équipes'!$E10&gt;0,J103&gt;='Suivi Équipes'!$E10/Paramètres!$B$9),1,0)</f>
        <v>0</v>
      </c>
      <c r="K115" s="8">
        <f>IF(AND(K$4=1,K$3&lt;=Paramètres!$B$10,'Suivi Équipes'!$E10&gt;0,K103&gt;='Suivi Équipes'!$E10/Paramètres!$B$9),1,0)</f>
        <v>0</v>
      </c>
      <c r="L115" s="8">
        <f>IF(AND(L$4=1,L$3&lt;=Paramètres!$B$10,'Suivi Équipes'!$E10&gt;0,L103&gt;='Suivi Équipes'!$E10/Paramètres!$B$9),1,0)</f>
        <v>0</v>
      </c>
      <c r="M115" s="8">
        <f>IF(AND(M$4=1,M$3&lt;=Paramètres!$B$10,'Suivi Équipes'!$E10&gt;0,M103&gt;='Suivi Équipes'!$E10/Paramètres!$B$9),1,0)</f>
        <v>0</v>
      </c>
      <c r="N115" s="8">
        <f>IF(AND(N$4=1,N$3&lt;=Paramètres!$B$10,'Suivi Équipes'!$E10&gt;0,N103&gt;='Suivi Équipes'!$E10/Paramètres!$B$9),1,0)</f>
        <v>0</v>
      </c>
      <c r="O115" s="8">
        <f>IF(AND(O$4=1,O$3&lt;=Paramètres!$B$10,'Suivi Équipes'!$E10&gt;0,O103&gt;='Suivi Équipes'!$E10/Paramètres!$B$9),1,0)</f>
        <v>0</v>
      </c>
      <c r="P115" s="8">
        <f>IF(AND(P$4=1,P$3&lt;=Paramètres!$B$10,'Suivi Équipes'!$E10&gt;0,P103&gt;='Suivi Équipes'!$E10/Paramètres!$B$9),1,0)</f>
        <v>0</v>
      </c>
      <c r="Q115" s="8">
        <f>IF(AND(Q$4=1,Q$3&lt;=Paramètres!$B$10,'Suivi Équipes'!$E10&gt;0,Q103&gt;='Suivi Équipes'!$E10/Paramètres!$B$9),1,0)</f>
        <v>0</v>
      </c>
      <c r="R115" s="8">
        <f>IF(AND(R$4=1,R$3&lt;=Paramètres!$B$10,'Suivi Équipes'!$E10&gt;0,R103&gt;='Suivi Équipes'!$E10/Paramètres!$B$9),1,0)</f>
        <v>0</v>
      </c>
      <c r="S115" s="8">
        <f>IF(AND(S$4=1,S$3&lt;=Paramètres!$B$10,'Suivi Équipes'!$E10&gt;0,S103&gt;='Suivi Équipes'!$E10/Paramètres!$B$9),1,0)</f>
        <v>0</v>
      </c>
      <c r="T115" s="8">
        <f>IF(AND(T$4=1,T$3&lt;=Paramètres!$B$10,'Suivi Équipes'!$E10&gt;0,T103&gt;='Suivi Équipes'!$E10/Paramètres!$B$9),1,0)</f>
        <v>0</v>
      </c>
      <c r="U115" s="8">
        <f>IF(AND(U$4=1,U$3&lt;=Paramètres!$B$10,'Suivi Équipes'!$E10&gt;0,U103&gt;='Suivi Équipes'!$E10/Paramètres!$B$9),1,0)</f>
        <v>0</v>
      </c>
      <c r="V115" s="8">
        <f>IF(AND(V$4=1,V$3&lt;=Paramètres!$B$10,'Suivi Équipes'!$E10&gt;0,V103&gt;='Suivi Équipes'!$E10/Paramètres!$B$9),1,0)</f>
        <v>0</v>
      </c>
      <c r="W115" s="8">
        <f>IF(AND(W$4=1,W$3&lt;=Paramètres!$B$10,'Suivi Équipes'!$E10&gt;0,W103&gt;='Suivi Équipes'!$E10/Paramètres!$B$9),1,0)</f>
        <v>0</v>
      </c>
      <c r="X115" s="8">
        <f>IF(AND(X$4=1,X$3&lt;=Paramètres!$B$10,'Suivi Équipes'!$E10&gt;0,X103&gt;='Suivi Équipes'!$E10/Paramètres!$B$9),1,0)</f>
        <v>0</v>
      </c>
      <c r="Y115" s="8">
        <f>IF(AND(Y$4=1,Y$3&lt;=Paramètres!$B$10,'Suivi Équipes'!$E10&gt;0,Y103&gt;='Suivi Équipes'!$E10/Paramètres!$B$9),1,0)</f>
        <v>0</v>
      </c>
      <c r="Z115" s="8">
        <f>IF(AND(Z$4=1,Z$3&lt;=Paramètres!$B$10,'Suivi Équipes'!$E10&gt;0,Z103&gt;='Suivi Équipes'!$E10/Paramètres!$B$9),1,0)</f>
        <v>0</v>
      </c>
      <c r="AA115" s="8">
        <f>IF(AND(AA$4=1,AA$3&lt;=Paramètres!$B$10,'Suivi Équipes'!$E10&gt;0,AA103&gt;='Suivi Équipes'!$E10/Paramètres!$B$9),1,0)</f>
        <v>0</v>
      </c>
      <c r="AB115" s="8">
        <f>IF(AND(AB$4=1,AB$3&lt;=Paramètres!$B$10,'Suivi Équipes'!$E10&gt;0,AB103&gt;='Suivi Équipes'!$E10/Paramètres!$B$9),1,0)</f>
        <v>0</v>
      </c>
      <c r="AC115" s="8">
        <f>IF(AND(AC$4=1,AC$3&lt;=Paramètres!$B$10,'Suivi Équipes'!$E10&gt;0,AC103&gt;='Suivi Équipes'!$E10/Paramètres!$B$9),1,0)</f>
        <v>0</v>
      </c>
      <c r="AD115" s="8">
        <f>IF(AND(AD$4=1,AD$3&lt;=Paramètres!$B$10,'Suivi Équipes'!$E10&gt;0,AD103&gt;='Suivi Équipes'!$E10/Paramètres!$B$9),1,0)</f>
        <v>0</v>
      </c>
      <c r="AE115" s="8">
        <f>IF(AND(AE$4=1,AE$3&lt;=Paramètres!$B$10,'Suivi Équipes'!$E10&gt;0,AE103&gt;='Suivi Équipes'!$E10/Paramètres!$B$9),1,0)</f>
        <v>0</v>
      </c>
      <c r="AF115" s="8">
        <f>IF(AND(AF$4=1,AF$3&lt;=Paramètres!$B$10,'Suivi Équipes'!$E10&gt;0,AF103&gt;='Suivi Équipes'!$E10/Paramètres!$B$9),1,0)</f>
        <v>0</v>
      </c>
      <c r="AG115" s="8">
        <f>IF(AND(AG$4=1,AG$3&lt;=Paramètres!$B$10,'Suivi Équipes'!$E10&gt;0,AG103&gt;='Suivi Équipes'!$E10/Paramètres!$B$9),1,0)</f>
        <v>0</v>
      </c>
      <c r="AH115" s="8">
        <f>IF(AND(AH$4=1,AH$3&lt;=Paramètres!$B$10,'Suivi Équipes'!$E10&gt;0,AH103&gt;='Suivi Équipes'!$E10/Paramètres!$B$9),1,0)</f>
        <v>0</v>
      </c>
    </row>
    <row r="116" spans="1:34" x14ac:dyDescent="0.45">
      <c r="A116" s="8" t="s">
        <v>139</v>
      </c>
      <c r="D116" s="8">
        <f>IF(AND(D$4=1,D$3&lt;=Paramètres!$B$10,'Suivi Équipes'!$E11&gt;0,D104&gt;='Suivi Équipes'!$E11/Paramètres!$B$9),1,0)</f>
        <v>0</v>
      </c>
      <c r="E116" s="8">
        <f>IF(AND(E$4=1,E$3&lt;=Paramètres!$B$10,'Suivi Équipes'!$E11&gt;0,E104&gt;='Suivi Équipes'!$E11/Paramètres!$B$9),1,0)</f>
        <v>0</v>
      </c>
      <c r="F116" s="8">
        <f>IF(AND(F$4=1,F$3&lt;=Paramètres!$B$10,'Suivi Équipes'!$E11&gt;0,F104&gt;='Suivi Équipes'!$E11/Paramètres!$B$9),1,0)</f>
        <v>0</v>
      </c>
      <c r="G116" s="8">
        <f>IF(AND(G$4=1,G$3&lt;=Paramètres!$B$10,'Suivi Équipes'!$E11&gt;0,G104&gt;='Suivi Équipes'!$E11/Paramètres!$B$9),1,0)</f>
        <v>0</v>
      </c>
      <c r="H116" s="8">
        <f>IF(AND(H$4=1,H$3&lt;=Paramètres!$B$10,'Suivi Équipes'!$E11&gt;0,H104&gt;='Suivi Équipes'!$E11/Paramètres!$B$9),1,0)</f>
        <v>0</v>
      </c>
      <c r="I116" s="8">
        <f>IF(AND(I$4=1,I$3&lt;=Paramètres!$B$10,'Suivi Équipes'!$E11&gt;0,I104&gt;='Suivi Équipes'!$E11/Paramètres!$B$9),1,0)</f>
        <v>0</v>
      </c>
      <c r="J116" s="8">
        <f>IF(AND(J$4=1,J$3&lt;=Paramètres!$B$10,'Suivi Équipes'!$E11&gt;0,J104&gt;='Suivi Équipes'!$E11/Paramètres!$B$9),1,0)</f>
        <v>0</v>
      </c>
      <c r="K116" s="8">
        <f>IF(AND(K$4=1,K$3&lt;=Paramètres!$B$10,'Suivi Équipes'!$E11&gt;0,K104&gt;='Suivi Équipes'!$E11/Paramètres!$B$9),1,0)</f>
        <v>0</v>
      </c>
      <c r="L116" s="8">
        <f>IF(AND(L$4=1,L$3&lt;=Paramètres!$B$10,'Suivi Équipes'!$E11&gt;0,L104&gt;='Suivi Équipes'!$E11/Paramètres!$B$9),1,0)</f>
        <v>0</v>
      </c>
      <c r="M116" s="8">
        <f>IF(AND(M$4=1,M$3&lt;=Paramètres!$B$10,'Suivi Équipes'!$E11&gt;0,M104&gt;='Suivi Équipes'!$E11/Paramètres!$B$9),1,0)</f>
        <v>0</v>
      </c>
      <c r="N116" s="8">
        <f>IF(AND(N$4=1,N$3&lt;=Paramètres!$B$10,'Suivi Équipes'!$E11&gt;0,N104&gt;='Suivi Équipes'!$E11/Paramètres!$B$9),1,0)</f>
        <v>0</v>
      </c>
      <c r="O116" s="8">
        <f>IF(AND(O$4=1,O$3&lt;=Paramètres!$B$10,'Suivi Équipes'!$E11&gt;0,O104&gt;='Suivi Équipes'!$E11/Paramètres!$B$9),1,0)</f>
        <v>0</v>
      </c>
      <c r="P116" s="8">
        <f>IF(AND(P$4=1,P$3&lt;=Paramètres!$B$10,'Suivi Équipes'!$E11&gt;0,P104&gt;='Suivi Équipes'!$E11/Paramètres!$B$9),1,0)</f>
        <v>0</v>
      </c>
      <c r="Q116" s="8">
        <f>IF(AND(Q$4=1,Q$3&lt;=Paramètres!$B$10,'Suivi Équipes'!$E11&gt;0,Q104&gt;='Suivi Équipes'!$E11/Paramètres!$B$9),1,0)</f>
        <v>0</v>
      </c>
      <c r="R116" s="8">
        <f>IF(AND(R$4=1,R$3&lt;=Paramètres!$B$10,'Suivi Équipes'!$E11&gt;0,R104&gt;='Suivi Équipes'!$E11/Paramètres!$B$9),1,0)</f>
        <v>0</v>
      </c>
      <c r="S116" s="8">
        <f>IF(AND(S$4=1,S$3&lt;=Paramètres!$B$10,'Suivi Équipes'!$E11&gt;0,S104&gt;='Suivi Équipes'!$E11/Paramètres!$B$9),1,0)</f>
        <v>0</v>
      </c>
      <c r="T116" s="8">
        <f>IF(AND(T$4=1,T$3&lt;=Paramètres!$B$10,'Suivi Équipes'!$E11&gt;0,T104&gt;='Suivi Équipes'!$E11/Paramètres!$B$9),1,0)</f>
        <v>0</v>
      </c>
      <c r="U116" s="8">
        <f>IF(AND(U$4=1,U$3&lt;=Paramètres!$B$10,'Suivi Équipes'!$E11&gt;0,U104&gt;='Suivi Équipes'!$E11/Paramètres!$B$9),1,0)</f>
        <v>0</v>
      </c>
      <c r="V116" s="8">
        <f>IF(AND(V$4=1,V$3&lt;=Paramètres!$B$10,'Suivi Équipes'!$E11&gt;0,V104&gt;='Suivi Équipes'!$E11/Paramètres!$B$9),1,0)</f>
        <v>0</v>
      </c>
      <c r="W116" s="8">
        <f>IF(AND(W$4=1,W$3&lt;=Paramètres!$B$10,'Suivi Équipes'!$E11&gt;0,W104&gt;='Suivi Équipes'!$E11/Paramètres!$B$9),1,0)</f>
        <v>0</v>
      </c>
      <c r="X116" s="8">
        <f>IF(AND(X$4=1,X$3&lt;=Paramètres!$B$10,'Suivi Équipes'!$E11&gt;0,X104&gt;='Suivi Équipes'!$E11/Paramètres!$B$9),1,0)</f>
        <v>0</v>
      </c>
      <c r="Y116" s="8">
        <f>IF(AND(Y$4=1,Y$3&lt;=Paramètres!$B$10,'Suivi Équipes'!$E11&gt;0,Y104&gt;='Suivi Équipes'!$E11/Paramètres!$B$9),1,0)</f>
        <v>0</v>
      </c>
      <c r="Z116" s="8">
        <f>IF(AND(Z$4=1,Z$3&lt;=Paramètres!$B$10,'Suivi Équipes'!$E11&gt;0,Z104&gt;='Suivi Équipes'!$E11/Paramètres!$B$9),1,0)</f>
        <v>0</v>
      </c>
      <c r="AA116" s="8">
        <f>IF(AND(AA$4=1,AA$3&lt;=Paramètres!$B$10,'Suivi Équipes'!$E11&gt;0,AA104&gt;='Suivi Équipes'!$E11/Paramètres!$B$9),1,0)</f>
        <v>0</v>
      </c>
      <c r="AB116" s="8">
        <f>IF(AND(AB$4=1,AB$3&lt;=Paramètres!$B$10,'Suivi Équipes'!$E11&gt;0,AB104&gt;='Suivi Équipes'!$E11/Paramètres!$B$9),1,0)</f>
        <v>0</v>
      </c>
      <c r="AC116" s="8">
        <f>IF(AND(AC$4=1,AC$3&lt;=Paramètres!$B$10,'Suivi Équipes'!$E11&gt;0,AC104&gt;='Suivi Équipes'!$E11/Paramètres!$B$9),1,0)</f>
        <v>0</v>
      </c>
      <c r="AD116" s="8">
        <f>IF(AND(AD$4=1,AD$3&lt;=Paramètres!$B$10,'Suivi Équipes'!$E11&gt;0,AD104&gt;='Suivi Équipes'!$E11/Paramètres!$B$9),1,0)</f>
        <v>0</v>
      </c>
      <c r="AE116" s="8">
        <f>IF(AND(AE$4=1,AE$3&lt;=Paramètres!$B$10,'Suivi Équipes'!$E11&gt;0,AE104&gt;='Suivi Équipes'!$E11/Paramètres!$B$9),1,0)</f>
        <v>0</v>
      </c>
      <c r="AF116" s="8">
        <f>IF(AND(AF$4=1,AF$3&lt;=Paramètres!$B$10,'Suivi Équipes'!$E11&gt;0,AF104&gt;='Suivi Équipes'!$E11/Paramètres!$B$9),1,0)</f>
        <v>0</v>
      </c>
      <c r="AG116" s="8">
        <f>IF(AND(AG$4=1,AG$3&lt;=Paramètres!$B$10,'Suivi Équipes'!$E11&gt;0,AG104&gt;='Suivi Équipes'!$E11/Paramètres!$B$9),1,0)</f>
        <v>0</v>
      </c>
      <c r="AH116" s="8">
        <f>IF(AND(AH$4=1,AH$3&lt;=Paramètres!$B$10,'Suivi Équipes'!$E11&gt;0,AH104&gt;='Suivi Équipes'!$E11/Paramètres!$B$9),1,0)</f>
        <v>0</v>
      </c>
    </row>
    <row r="117" spans="1:34" x14ac:dyDescent="0.45">
      <c r="A117" s="8" t="s">
        <v>144</v>
      </c>
      <c r="D117" s="8">
        <f>IF(AND(D$4=1,D$3&lt;=Paramètres!$B$10,'Suivi Équipes'!$E12&gt;0,D105&gt;='Suivi Équipes'!$E12/Paramètres!$B$9),1,0)</f>
        <v>0</v>
      </c>
      <c r="E117" s="8">
        <f>IF(AND(E$4=1,E$3&lt;=Paramètres!$B$10,'Suivi Équipes'!$E12&gt;0,E105&gt;='Suivi Équipes'!$E12/Paramètres!$B$9),1,0)</f>
        <v>0</v>
      </c>
      <c r="F117" s="8">
        <f>IF(AND(F$4=1,F$3&lt;=Paramètres!$B$10,'Suivi Équipes'!$E12&gt;0,F105&gt;='Suivi Équipes'!$E12/Paramètres!$B$9),1,0)</f>
        <v>0</v>
      </c>
      <c r="G117" s="8">
        <f>IF(AND(G$4=1,G$3&lt;=Paramètres!$B$10,'Suivi Équipes'!$E12&gt;0,G105&gt;='Suivi Équipes'!$E12/Paramètres!$B$9),1,0)</f>
        <v>0</v>
      </c>
      <c r="H117" s="8">
        <f>IF(AND(H$4=1,H$3&lt;=Paramètres!$B$10,'Suivi Équipes'!$E12&gt;0,H105&gt;='Suivi Équipes'!$E12/Paramètres!$B$9),1,0)</f>
        <v>0</v>
      </c>
      <c r="I117" s="8">
        <f>IF(AND(I$4=1,I$3&lt;=Paramètres!$B$10,'Suivi Équipes'!$E12&gt;0,I105&gt;='Suivi Équipes'!$E12/Paramètres!$B$9),1,0)</f>
        <v>0</v>
      </c>
      <c r="J117" s="8">
        <f>IF(AND(J$4=1,J$3&lt;=Paramètres!$B$10,'Suivi Équipes'!$E12&gt;0,J105&gt;='Suivi Équipes'!$E12/Paramètres!$B$9),1,0)</f>
        <v>0</v>
      </c>
      <c r="K117" s="8">
        <f>IF(AND(K$4=1,K$3&lt;=Paramètres!$B$10,'Suivi Équipes'!$E12&gt;0,K105&gt;='Suivi Équipes'!$E12/Paramètres!$B$9),1,0)</f>
        <v>0</v>
      </c>
      <c r="L117" s="8">
        <f>IF(AND(L$4=1,L$3&lt;=Paramètres!$B$10,'Suivi Équipes'!$E12&gt;0,L105&gt;='Suivi Équipes'!$E12/Paramètres!$B$9),1,0)</f>
        <v>0</v>
      </c>
      <c r="M117" s="8">
        <f>IF(AND(M$4=1,M$3&lt;=Paramètres!$B$10,'Suivi Équipes'!$E12&gt;0,M105&gt;='Suivi Équipes'!$E12/Paramètres!$B$9),1,0)</f>
        <v>0</v>
      </c>
      <c r="N117" s="8">
        <f>IF(AND(N$4=1,N$3&lt;=Paramètres!$B$10,'Suivi Équipes'!$E12&gt;0,N105&gt;='Suivi Équipes'!$E12/Paramètres!$B$9),1,0)</f>
        <v>0</v>
      </c>
      <c r="O117" s="8">
        <f>IF(AND(O$4=1,O$3&lt;=Paramètres!$B$10,'Suivi Équipes'!$E12&gt;0,O105&gt;='Suivi Équipes'!$E12/Paramètres!$B$9),1,0)</f>
        <v>0</v>
      </c>
      <c r="P117" s="8">
        <f>IF(AND(P$4=1,P$3&lt;=Paramètres!$B$10,'Suivi Équipes'!$E12&gt;0,P105&gt;='Suivi Équipes'!$E12/Paramètres!$B$9),1,0)</f>
        <v>0</v>
      </c>
      <c r="Q117" s="8">
        <f>IF(AND(Q$4=1,Q$3&lt;=Paramètres!$B$10,'Suivi Équipes'!$E12&gt;0,Q105&gt;='Suivi Équipes'!$E12/Paramètres!$B$9),1,0)</f>
        <v>0</v>
      </c>
      <c r="R117" s="8">
        <f>IF(AND(R$4=1,R$3&lt;=Paramètres!$B$10,'Suivi Équipes'!$E12&gt;0,R105&gt;='Suivi Équipes'!$E12/Paramètres!$B$9),1,0)</f>
        <v>0</v>
      </c>
      <c r="S117" s="8">
        <f>IF(AND(S$4=1,S$3&lt;=Paramètres!$B$10,'Suivi Équipes'!$E12&gt;0,S105&gt;='Suivi Équipes'!$E12/Paramètres!$B$9),1,0)</f>
        <v>0</v>
      </c>
      <c r="T117" s="8">
        <f>IF(AND(T$4=1,T$3&lt;=Paramètres!$B$10,'Suivi Équipes'!$E12&gt;0,T105&gt;='Suivi Équipes'!$E12/Paramètres!$B$9),1,0)</f>
        <v>0</v>
      </c>
      <c r="U117" s="8">
        <f>IF(AND(U$4=1,U$3&lt;=Paramètres!$B$10,'Suivi Équipes'!$E12&gt;0,U105&gt;='Suivi Équipes'!$E12/Paramètres!$B$9),1,0)</f>
        <v>0</v>
      </c>
      <c r="V117" s="8">
        <f>IF(AND(V$4=1,V$3&lt;=Paramètres!$B$10,'Suivi Équipes'!$E12&gt;0,V105&gt;='Suivi Équipes'!$E12/Paramètres!$B$9),1,0)</f>
        <v>0</v>
      </c>
      <c r="W117" s="8">
        <f>IF(AND(W$4=1,W$3&lt;=Paramètres!$B$10,'Suivi Équipes'!$E12&gt;0,W105&gt;='Suivi Équipes'!$E12/Paramètres!$B$9),1,0)</f>
        <v>0</v>
      </c>
      <c r="X117" s="8">
        <f>IF(AND(X$4=1,X$3&lt;=Paramètres!$B$10,'Suivi Équipes'!$E12&gt;0,X105&gt;='Suivi Équipes'!$E12/Paramètres!$B$9),1,0)</f>
        <v>0</v>
      </c>
      <c r="Y117" s="8">
        <f>IF(AND(Y$4=1,Y$3&lt;=Paramètres!$B$10,'Suivi Équipes'!$E12&gt;0,Y105&gt;='Suivi Équipes'!$E12/Paramètres!$B$9),1,0)</f>
        <v>0</v>
      </c>
      <c r="Z117" s="8">
        <f>IF(AND(Z$4=1,Z$3&lt;=Paramètres!$B$10,'Suivi Équipes'!$E12&gt;0,Z105&gt;='Suivi Équipes'!$E12/Paramètres!$B$9),1,0)</f>
        <v>0</v>
      </c>
      <c r="AA117" s="8">
        <f>IF(AND(AA$4=1,AA$3&lt;=Paramètres!$B$10,'Suivi Équipes'!$E12&gt;0,AA105&gt;='Suivi Équipes'!$E12/Paramètres!$B$9),1,0)</f>
        <v>0</v>
      </c>
      <c r="AB117" s="8">
        <f>IF(AND(AB$4=1,AB$3&lt;=Paramètres!$B$10,'Suivi Équipes'!$E12&gt;0,AB105&gt;='Suivi Équipes'!$E12/Paramètres!$B$9),1,0)</f>
        <v>0</v>
      </c>
      <c r="AC117" s="8">
        <f>IF(AND(AC$4=1,AC$3&lt;=Paramètres!$B$10,'Suivi Équipes'!$E12&gt;0,AC105&gt;='Suivi Équipes'!$E12/Paramètres!$B$9),1,0)</f>
        <v>0</v>
      </c>
      <c r="AD117" s="8">
        <f>IF(AND(AD$4=1,AD$3&lt;=Paramètres!$B$10,'Suivi Équipes'!$E12&gt;0,AD105&gt;='Suivi Équipes'!$E12/Paramètres!$B$9),1,0)</f>
        <v>0</v>
      </c>
      <c r="AE117" s="8">
        <f>IF(AND(AE$4=1,AE$3&lt;=Paramètres!$B$10,'Suivi Équipes'!$E12&gt;0,AE105&gt;='Suivi Équipes'!$E12/Paramètres!$B$9),1,0)</f>
        <v>0</v>
      </c>
      <c r="AF117" s="8">
        <f>IF(AND(AF$4=1,AF$3&lt;=Paramètres!$B$10,'Suivi Équipes'!$E12&gt;0,AF105&gt;='Suivi Équipes'!$E12/Paramètres!$B$9),1,0)</f>
        <v>0</v>
      </c>
      <c r="AG117" s="8">
        <f>IF(AND(AG$4=1,AG$3&lt;=Paramètres!$B$10,'Suivi Équipes'!$E12&gt;0,AG105&gt;='Suivi Équipes'!$E12/Paramètres!$B$9),1,0)</f>
        <v>0</v>
      </c>
      <c r="AH117" s="8">
        <f>IF(AND(AH$4=1,AH$3&lt;=Paramètres!$B$10,'Suivi Équipes'!$E12&gt;0,AH105&gt;='Suivi Équipes'!$E12/Paramètres!$B$9),1,0)</f>
        <v>0</v>
      </c>
    </row>
    <row r="118" spans="1:34" x14ac:dyDescent="0.45">
      <c r="A118" s="8" t="s">
        <v>149</v>
      </c>
      <c r="D118" s="8">
        <f>IF(AND(D$4=1,D$3&lt;=Paramètres!$B$10,'Suivi Équipes'!$E13&gt;0,D106&gt;='Suivi Équipes'!$E13/Paramètres!$B$9),1,0)</f>
        <v>0</v>
      </c>
      <c r="E118" s="8">
        <f>IF(AND(E$4=1,E$3&lt;=Paramètres!$B$10,'Suivi Équipes'!$E13&gt;0,E106&gt;='Suivi Équipes'!$E13/Paramètres!$B$9),1,0)</f>
        <v>0</v>
      </c>
      <c r="F118" s="8">
        <f>IF(AND(F$4=1,F$3&lt;=Paramètres!$B$10,'Suivi Équipes'!$E13&gt;0,F106&gt;='Suivi Équipes'!$E13/Paramètres!$B$9),1,0)</f>
        <v>0</v>
      </c>
      <c r="G118" s="8">
        <f>IF(AND(G$4=1,G$3&lt;=Paramètres!$B$10,'Suivi Équipes'!$E13&gt;0,G106&gt;='Suivi Équipes'!$E13/Paramètres!$B$9),1,0)</f>
        <v>0</v>
      </c>
      <c r="H118" s="8">
        <f>IF(AND(H$4=1,H$3&lt;=Paramètres!$B$10,'Suivi Équipes'!$E13&gt;0,H106&gt;='Suivi Équipes'!$E13/Paramètres!$B$9),1,0)</f>
        <v>0</v>
      </c>
      <c r="I118" s="8">
        <f>IF(AND(I$4=1,I$3&lt;=Paramètres!$B$10,'Suivi Équipes'!$E13&gt;0,I106&gt;='Suivi Équipes'!$E13/Paramètres!$B$9),1,0)</f>
        <v>0</v>
      </c>
      <c r="J118" s="8">
        <f>IF(AND(J$4=1,J$3&lt;=Paramètres!$B$10,'Suivi Équipes'!$E13&gt;0,J106&gt;='Suivi Équipes'!$E13/Paramètres!$B$9),1,0)</f>
        <v>0</v>
      </c>
      <c r="K118" s="8">
        <f>IF(AND(K$4=1,K$3&lt;=Paramètres!$B$10,'Suivi Équipes'!$E13&gt;0,K106&gt;='Suivi Équipes'!$E13/Paramètres!$B$9),1,0)</f>
        <v>0</v>
      </c>
      <c r="L118" s="8">
        <f>IF(AND(L$4=1,L$3&lt;=Paramètres!$B$10,'Suivi Équipes'!$E13&gt;0,L106&gt;='Suivi Équipes'!$E13/Paramètres!$B$9),1,0)</f>
        <v>0</v>
      </c>
      <c r="M118" s="8">
        <f>IF(AND(M$4=1,M$3&lt;=Paramètres!$B$10,'Suivi Équipes'!$E13&gt;0,M106&gt;='Suivi Équipes'!$E13/Paramètres!$B$9),1,0)</f>
        <v>0</v>
      </c>
      <c r="N118" s="8">
        <f>IF(AND(N$4=1,N$3&lt;=Paramètres!$B$10,'Suivi Équipes'!$E13&gt;0,N106&gt;='Suivi Équipes'!$E13/Paramètres!$B$9),1,0)</f>
        <v>0</v>
      </c>
      <c r="O118" s="8">
        <f>IF(AND(O$4=1,O$3&lt;=Paramètres!$B$10,'Suivi Équipes'!$E13&gt;0,O106&gt;='Suivi Équipes'!$E13/Paramètres!$B$9),1,0)</f>
        <v>0</v>
      </c>
      <c r="P118" s="8">
        <f>IF(AND(P$4=1,P$3&lt;=Paramètres!$B$10,'Suivi Équipes'!$E13&gt;0,P106&gt;='Suivi Équipes'!$E13/Paramètres!$B$9),1,0)</f>
        <v>0</v>
      </c>
      <c r="Q118" s="8">
        <f>IF(AND(Q$4=1,Q$3&lt;=Paramètres!$B$10,'Suivi Équipes'!$E13&gt;0,Q106&gt;='Suivi Équipes'!$E13/Paramètres!$B$9),1,0)</f>
        <v>0</v>
      </c>
      <c r="R118" s="8">
        <f>IF(AND(R$4=1,R$3&lt;=Paramètres!$B$10,'Suivi Équipes'!$E13&gt;0,R106&gt;='Suivi Équipes'!$E13/Paramètres!$B$9),1,0)</f>
        <v>0</v>
      </c>
      <c r="S118" s="8">
        <f>IF(AND(S$4=1,S$3&lt;=Paramètres!$B$10,'Suivi Équipes'!$E13&gt;0,S106&gt;='Suivi Équipes'!$E13/Paramètres!$B$9),1,0)</f>
        <v>0</v>
      </c>
      <c r="T118" s="8">
        <f>IF(AND(T$4=1,T$3&lt;=Paramètres!$B$10,'Suivi Équipes'!$E13&gt;0,T106&gt;='Suivi Équipes'!$E13/Paramètres!$B$9),1,0)</f>
        <v>0</v>
      </c>
      <c r="U118" s="8">
        <f>IF(AND(U$4=1,U$3&lt;=Paramètres!$B$10,'Suivi Équipes'!$E13&gt;0,U106&gt;='Suivi Équipes'!$E13/Paramètres!$B$9),1,0)</f>
        <v>0</v>
      </c>
      <c r="V118" s="8">
        <f>IF(AND(V$4=1,V$3&lt;=Paramètres!$B$10,'Suivi Équipes'!$E13&gt;0,V106&gt;='Suivi Équipes'!$E13/Paramètres!$B$9),1,0)</f>
        <v>0</v>
      </c>
      <c r="W118" s="8">
        <f>IF(AND(W$4=1,W$3&lt;=Paramètres!$B$10,'Suivi Équipes'!$E13&gt;0,W106&gt;='Suivi Équipes'!$E13/Paramètres!$B$9),1,0)</f>
        <v>0</v>
      </c>
      <c r="X118" s="8">
        <f>IF(AND(X$4=1,X$3&lt;=Paramètres!$B$10,'Suivi Équipes'!$E13&gt;0,X106&gt;='Suivi Équipes'!$E13/Paramètres!$B$9),1,0)</f>
        <v>0</v>
      </c>
      <c r="Y118" s="8">
        <f>IF(AND(Y$4=1,Y$3&lt;=Paramètres!$B$10,'Suivi Équipes'!$E13&gt;0,Y106&gt;='Suivi Équipes'!$E13/Paramètres!$B$9),1,0)</f>
        <v>0</v>
      </c>
      <c r="Z118" s="8">
        <f>IF(AND(Z$4=1,Z$3&lt;=Paramètres!$B$10,'Suivi Équipes'!$E13&gt;0,Z106&gt;='Suivi Équipes'!$E13/Paramètres!$B$9),1,0)</f>
        <v>0</v>
      </c>
      <c r="AA118" s="8">
        <f>IF(AND(AA$4=1,AA$3&lt;=Paramètres!$B$10,'Suivi Équipes'!$E13&gt;0,AA106&gt;='Suivi Équipes'!$E13/Paramètres!$B$9),1,0)</f>
        <v>0</v>
      </c>
      <c r="AB118" s="8">
        <f>IF(AND(AB$4=1,AB$3&lt;=Paramètres!$B$10,'Suivi Équipes'!$E13&gt;0,AB106&gt;='Suivi Équipes'!$E13/Paramètres!$B$9),1,0)</f>
        <v>0</v>
      </c>
      <c r="AC118" s="8">
        <f>IF(AND(AC$4=1,AC$3&lt;=Paramètres!$B$10,'Suivi Équipes'!$E13&gt;0,AC106&gt;='Suivi Équipes'!$E13/Paramètres!$B$9),1,0)</f>
        <v>0</v>
      </c>
      <c r="AD118" s="8">
        <f>IF(AND(AD$4=1,AD$3&lt;=Paramètres!$B$10,'Suivi Équipes'!$E13&gt;0,AD106&gt;='Suivi Équipes'!$E13/Paramètres!$B$9),1,0)</f>
        <v>0</v>
      </c>
      <c r="AE118" s="8">
        <f>IF(AND(AE$4=1,AE$3&lt;=Paramètres!$B$10,'Suivi Équipes'!$E13&gt;0,AE106&gt;='Suivi Équipes'!$E13/Paramètres!$B$9),1,0)</f>
        <v>0</v>
      </c>
      <c r="AF118" s="8">
        <f>IF(AND(AF$4=1,AF$3&lt;=Paramètres!$B$10,'Suivi Équipes'!$E13&gt;0,AF106&gt;='Suivi Équipes'!$E13/Paramètres!$B$9),1,0)</f>
        <v>0</v>
      </c>
      <c r="AG118" s="8">
        <f>IF(AND(AG$4=1,AG$3&lt;=Paramètres!$B$10,'Suivi Équipes'!$E13&gt;0,AG106&gt;='Suivi Équipes'!$E13/Paramètres!$B$9),1,0)</f>
        <v>0</v>
      </c>
      <c r="AH118" s="8">
        <f>IF(AND(AH$4=1,AH$3&lt;=Paramètres!$B$10,'Suivi Équipes'!$E13&gt;0,AH106&gt;='Suivi Équipes'!$E13/Paramètres!$B$9),1,0)</f>
        <v>0</v>
      </c>
    </row>
    <row r="119" spans="1:34" x14ac:dyDescent="0.45">
      <c r="A119" s="8" t="s">
        <v>155</v>
      </c>
      <c r="D119" s="8">
        <f>IF(AND(D$4=1,D$3&lt;=Paramètres!$B$10,'Suivi Équipes'!$E14&gt;0,D107&gt;='Suivi Équipes'!$E14/Paramètres!$B$9),1,0)</f>
        <v>0</v>
      </c>
      <c r="E119" s="8">
        <f>IF(AND(E$4=1,E$3&lt;=Paramètres!$B$10,'Suivi Équipes'!$E14&gt;0,E107&gt;='Suivi Équipes'!$E14/Paramètres!$B$9),1,0)</f>
        <v>0</v>
      </c>
      <c r="F119" s="8">
        <f>IF(AND(F$4=1,F$3&lt;=Paramètres!$B$10,'Suivi Équipes'!$E14&gt;0,F107&gt;='Suivi Équipes'!$E14/Paramètres!$B$9),1,0)</f>
        <v>0</v>
      </c>
      <c r="G119" s="8">
        <f>IF(AND(G$4=1,G$3&lt;=Paramètres!$B$10,'Suivi Équipes'!$E14&gt;0,G107&gt;='Suivi Équipes'!$E14/Paramètres!$B$9),1,0)</f>
        <v>0</v>
      </c>
      <c r="H119" s="8">
        <f>IF(AND(H$4=1,H$3&lt;=Paramètres!$B$10,'Suivi Équipes'!$E14&gt;0,H107&gt;='Suivi Équipes'!$E14/Paramètres!$B$9),1,0)</f>
        <v>0</v>
      </c>
      <c r="I119" s="8">
        <f>IF(AND(I$4=1,I$3&lt;=Paramètres!$B$10,'Suivi Équipes'!$E14&gt;0,I107&gt;='Suivi Équipes'!$E14/Paramètres!$B$9),1,0)</f>
        <v>0</v>
      </c>
      <c r="J119" s="8">
        <f>IF(AND(J$4=1,J$3&lt;=Paramètres!$B$10,'Suivi Équipes'!$E14&gt;0,J107&gt;='Suivi Équipes'!$E14/Paramètres!$B$9),1,0)</f>
        <v>0</v>
      </c>
      <c r="K119" s="8">
        <f>IF(AND(K$4=1,K$3&lt;=Paramètres!$B$10,'Suivi Équipes'!$E14&gt;0,K107&gt;='Suivi Équipes'!$E14/Paramètres!$B$9),1,0)</f>
        <v>0</v>
      </c>
      <c r="L119" s="8">
        <f>IF(AND(L$4=1,L$3&lt;=Paramètres!$B$10,'Suivi Équipes'!$E14&gt;0,L107&gt;='Suivi Équipes'!$E14/Paramètres!$B$9),1,0)</f>
        <v>0</v>
      </c>
      <c r="M119" s="8">
        <f>IF(AND(M$4=1,M$3&lt;=Paramètres!$B$10,'Suivi Équipes'!$E14&gt;0,M107&gt;='Suivi Équipes'!$E14/Paramètres!$B$9),1,0)</f>
        <v>0</v>
      </c>
      <c r="N119" s="8">
        <f>IF(AND(N$4=1,N$3&lt;=Paramètres!$B$10,'Suivi Équipes'!$E14&gt;0,N107&gt;='Suivi Équipes'!$E14/Paramètres!$B$9),1,0)</f>
        <v>0</v>
      </c>
      <c r="O119" s="8">
        <f>IF(AND(O$4=1,O$3&lt;=Paramètres!$B$10,'Suivi Équipes'!$E14&gt;0,O107&gt;='Suivi Équipes'!$E14/Paramètres!$B$9),1,0)</f>
        <v>0</v>
      </c>
      <c r="P119" s="8">
        <f>IF(AND(P$4=1,P$3&lt;=Paramètres!$B$10,'Suivi Équipes'!$E14&gt;0,P107&gt;='Suivi Équipes'!$E14/Paramètres!$B$9),1,0)</f>
        <v>0</v>
      </c>
      <c r="Q119" s="8">
        <f>IF(AND(Q$4=1,Q$3&lt;=Paramètres!$B$10,'Suivi Équipes'!$E14&gt;0,Q107&gt;='Suivi Équipes'!$E14/Paramètres!$B$9),1,0)</f>
        <v>0</v>
      </c>
      <c r="R119" s="8">
        <f>IF(AND(R$4=1,R$3&lt;=Paramètres!$B$10,'Suivi Équipes'!$E14&gt;0,R107&gt;='Suivi Équipes'!$E14/Paramètres!$B$9),1,0)</f>
        <v>0</v>
      </c>
      <c r="S119" s="8">
        <f>IF(AND(S$4=1,S$3&lt;=Paramètres!$B$10,'Suivi Équipes'!$E14&gt;0,S107&gt;='Suivi Équipes'!$E14/Paramètres!$B$9),1,0)</f>
        <v>0</v>
      </c>
      <c r="T119" s="8">
        <f>IF(AND(T$4=1,T$3&lt;=Paramètres!$B$10,'Suivi Équipes'!$E14&gt;0,T107&gt;='Suivi Équipes'!$E14/Paramètres!$B$9),1,0)</f>
        <v>0</v>
      </c>
      <c r="U119" s="8">
        <f>IF(AND(U$4=1,U$3&lt;=Paramètres!$B$10,'Suivi Équipes'!$E14&gt;0,U107&gt;='Suivi Équipes'!$E14/Paramètres!$B$9),1,0)</f>
        <v>0</v>
      </c>
      <c r="V119" s="8">
        <f>IF(AND(V$4=1,V$3&lt;=Paramètres!$B$10,'Suivi Équipes'!$E14&gt;0,V107&gt;='Suivi Équipes'!$E14/Paramètres!$B$9),1,0)</f>
        <v>0</v>
      </c>
      <c r="W119" s="8">
        <f>IF(AND(W$4=1,W$3&lt;=Paramètres!$B$10,'Suivi Équipes'!$E14&gt;0,W107&gt;='Suivi Équipes'!$E14/Paramètres!$B$9),1,0)</f>
        <v>0</v>
      </c>
      <c r="X119" s="8">
        <f>IF(AND(X$4=1,X$3&lt;=Paramètres!$B$10,'Suivi Équipes'!$E14&gt;0,X107&gt;='Suivi Équipes'!$E14/Paramètres!$B$9),1,0)</f>
        <v>0</v>
      </c>
      <c r="Y119" s="8">
        <f>IF(AND(Y$4=1,Y$3&lt;=Paramètres!$B$10,'Suivi Équipes'!$E14&gt;0,Y107&gt;='Suivi Équipes'!$E14/Paramètres!$B$9),1,0)</f>
        <v>0</v>
      </c>
      <c r="Z119" s="8">
        <f>IF(AND(Z$4=1,Z$3&lt;=Paramètres!$B$10,'Suivi Équipes'!$E14&gt;0,Z107&gt;='Suivi Équipes'!$E14/Paramètres!$B$9),1,0)</f>
        <v>0</v>
      </c>
      <c r="AA119" s="8">
        <f>IF(AND(AA$4=1,AA$3&lt;=Paramètres!$B$10,'Suivi Équipes'!$E14&gt;0,AA107&gt;='Suivi Équipes'!$E14/Paramètres!$B$9),1,0)</f>
        <v>0</v>
      </c>
      <c r="AB119" s="8">
        <f>IF(AND(AB$4=1,AB$3&lt;=Paramètres!$B$10,'Suivi Équipes'!$E14&gt;0,AB107&gt;='Suivi Équipes'!$E14/Paramètres!$B$9),1,0)</f>
        <v>0</v>
      </c>
      <c r="AC119" s="8">
        <f>IF(AND(AC$4=1,AC$3&lt;=Paramètres!$B$10,'Suivi Équipes'!$E14&gt;0,AC107&gt;='Suivi Équipes'!$E14/Paramètres!$B$9),1,0)</f>
        <v>0</v>
      </c>
      <c r="AD119" s="8">
        <f>IF(AND(AD$4=1,AD$3&lt;=Paramètres!$B$10,'Suivi Équipes'!$E14&gt;0,AD107&gt;='Suivi Équipes'!$E14/Paramètres!$B$9),1,0)</f>
        <v>0</v>
      </c>
      <c r="AE119" s="8">
        <f>IF(AND(AE$4=1,AE$3&lt;=Paramètres!$B$10,'Suivi Équipes'!$E14&gt;0,AE107&gt;='Suivi Équipes'!$E14/Paramètres!$B$9),1,0)</f>
        <v>0</v>
      </c>
      <c r="AF119" s="8">
        <f>IF(AND(AF$4=1,AF$3&lt;=Paramètres!$B$10,'Suivi Équipes'!$E14&gt;0,AF107&gt;='Suivi Équipes'!$E14/Paramètres!$B$9),1,0)</f>
        <v>0</v>
      </c>
      <c r="AG119" s="8">
        <f>IF(AND(AG$4=1,AG$3&lt;=Paramètres!$B$10,'Suivi Équipes'!$E14&gt;0,AG107&gt;='Suivi Équipes'!$E14/Paramètres!$B$9),1,0)</f>
        <v>0</v>
      </c>
      <c r="AH119" s="8">
        <f>IF(AND(AH$4=1,AH$3&lt;=Paramètres!$B$10,'Suivi Équipes'!$E14&gt;0,AH107&gt;='Suivi Équipes'!$E14/Paramètres!$B$9),1,0)</f>
        <v>0</v>
      </c>
    </row>
    <row r="120" spans="1:34" x14ac:dyDescent="0.45">
      <c r="A120" s="8" t="s">
        <v>158</v>
      </c>
      <c r="D120" s="8">
        <f>IF(AND(D$4=1,D$3&lt;=Paramètres!$B$10,'Suivi Équipes'!$E15&gt;0,D108&gt;='Suivi Équipes'!$E15/Paramètres!$B$9),1,0)</f>
        <v>0</v>
      </c>
      <c r="E120" s="8">
        <f>IF(AND(E$4=1,E$3&lt;=Paramètres!$B$10,'Suivi Équipes'!$E15&gt;0,E108&gt;='Suivi Équipes'!$E15/Paramètres!$B$9),1,0)</f>
        <v>0</v>
      </c>
      <c r="F120" s="8">
        <f>IF(AND(F$4=1,F$3&lt;=Paramètres!$B$10,'Suivi Équipes'!$E15&gt;0,F108&gt;='Suivi Équipes'!$E15/Paramètres!$B$9),1,0)</f>
        <v>0</v>
      </c>
      <c r="G120" s="8">
        <f>IF(AND(G$4=1,G$3&lt;=Paramètres!$B$10,'Suivi Équipes'!$E15&gt;0,G108&gt;='Suivi Équipes'!$E15/Paramètres!$B$9),1,0)</f>
        <v>0</v>
      </c>
      <c r="H120" s="8">
        <f>IF(AND(H$4=1,H$3&lt;=Paramètres!$B$10,'Suivi Équipes'!$E15&gt;0,H108&gt;='Suivi Équipes'!$E15/Paramètres!$B$9),1,0)</f>
        <v>0</v>
      </c>
      <c r="I120" s="8">
        <f>IF(AND(I$4=1,I$3&lt;=Paramètres!$B$10,'Suivi Équipes'!$E15&gt;0,I108&gt;='Suivi Équipes'!$E15/Paramètres!$B$9),1,0)</f>
        <v>0</v>
      </c>
      <c r="J120" s="8">
        <f>IF(AND(J$4=1,J$3&lt;=Paramètres!$B$10,'Suivi Équipes'!$E15&gt;0,J108&gt;='Suivi Équipes'!$E15/Paramètres!$B$9),1,0)</f>
        <v>0</v>
      </c>
      <c r="K120" s="8">
        <f>IF(AND(K$4=1,K$3&lt;=Paramètres!$B$10,'Suivi Équipes'!$E15&gt;0,K108&gt;='Suivi Équipes'!$E15/Paramètres!$B$9),1,0)</f>
        <v>0</v>
      </c>
      <c r="L120" s="8">
        <f>IF(AND(L$4=1,L$3&lt;=Paramètres!$B$10,'Suivi Équipes'!$E15&gt;0,L108&gt;='Suivi Équipes'!$E15/Paramètres!$B$9),1,0)</f>
        <v>0</v>
      </c>
      <c r="M120" s="8">
        <f>IF(AND(M$4=1,M$3&lt;=Paramètres!$B$10,'Suivi Équipes'!$E15&gt;0,M108&gt;='Suivi Équipes'!$E15/Paramètres!$B$9),1,0)</f>
        <v>0</v>
      </c>
      <c r="N120" s="8">
        <f>IF(AND(N$4=1,N$3&lt;=Paramètres!$B$10,'Suivi Équipes'!$E15&gt;0,N108&gt;='Suivi Équipes'!$E15/Paramètres!$B$9),1,0)</f>
        <v>0</v>
      </c>
      <c r="O120" s="8">
        <f>IF(AND(O$4=1,O$3&lt;=Paramètres!$B$10,'Suivi Équipes'!$E15&gt;0,O108&gt;='Suivi Équipes'!$E15/Paramètres!$B$9),1,0)</f>
        <v>0</v>
      </c>
      <c r="P120" s="8">
        <f>IF(AND(P$4=1,P$3&lt;=Paramètres!$B$10,'Suivi Équipes'!$E15&gt;0,P108&gt;='Suivi Équipes'!$E15/Paramètres!$B$9),1,0)</f>
        <v>0</v>
      </c>
      <c r="Q120" s="8">
        <f>IF(AND(Q$4=1,Q$3&lt;=Paramètres!$B$10,'Suivi Équipes'!$E15&gt;0,Q108&gt;='Suivi Équipes'!$E15/Paramètres!$B$9),1,0)</f>
        <v>0</v>
      </c>
      <c r="R120" s="8">
        <f>IF(AND(R$4=1,R$3&lt;=Paramètres!$B$10,'Suivi Équipes'!$E15&gt;0,R108&gt;='Suivi Équipes'!$E15/Paramètres!$B$9),1,0)</f>
        <v>0</v>
      </c>
      <c r="S120" s="8">
        <f>IF(AND(S$4=1,S$3&lt;=Paramètres!$B$10,'Suivi Équipes'!$E15&gt;0,S108&gt;='Suivi Équipes'!$E15/Paramètres!$B$9),1,0)</f>
        <v>0</v>
      </c>
      <c r="T120" s="8">
        <f>IF(AND(T$4=1,T$3&lt;=Paramètres!$B$10,'Suivi Équipes'!$E15&gt;0,T108&gt;='Suivi Équipes'!$E15/Paramètres!$B$9),1,0)</f>
        <v>0</v>
      </c>
      <c r="U120" s="8">
        <f>IF(AND(U$4=1,U$3&lt;=Paramètres!$B$10,'Suivi Équipes'!$E15&gt;0,U108&gt;='Suivi Équipes'!$E15/Paramètres!$B$9),1,0)</f>
        <v>0</v>
      </c>
      <c r="V120" s="8">
        <f>IF(AND(V$4=1,V$3&lt;=Paramètres!$B$10,'Suivi Équipes'!$E15&gt;0,V108&gt;='Suivi Équipes'!$E15/Paramètres!$B$9),1,0)</f>
        <v>0</v>
      </c>
      <c r="W120" s="8">
        <f>IF(AND(W$4=1,W$3&lt;=Paramètres!$B$10,'Suivi Équipes'!$E15&gt;0,W108&gt;='Suivi Équipes'!$E15/Paramètres!$B$9),1,0)</f>
        <v>0</v>
      </c>
      <c r="X120" s="8">
        <f>IF(AND(X$4=1,X$3&lt;=Paramètres!$B$10,'Suivi Équipes'!$E15&gt;0,X108&gt;='Suivi Équipes'!$E15/Paramètres!$B$9),1,0)</f>
        <v>0</v>
      </c>
      <c r="Y120" s="8">
        <f>IF(AND(Y$4=1,Y$3&lt;=Paramètres!$B$10,'Suivi Équipes'!$E15&gt;0,Y108&gt;='Suivi Équipes'!$E15/Paramètres!$B$9),1,0)</f>
        <v>0</v>
      </c>
      <c r="Z120" s="8">
        <f>IF(AND(Z$4=1,Z$3&lt;=Paramètres!$B$10,'Suivi Équipes'!$E15&gt;0,Z108&gt;='Suivi Équipes'!$E15/Paramètres!$B$9),1,0)</f>
        <v>0</v>
      </c>
      <c r="AA120" s="8">
        <f>IF(AND(AA$4=1,AA$3&lt;=Paramètres!$B$10,'Suivi Équipes'!$E15&gt;0,AA108&gt;='Suivi Équipes'!$E15/Paramètres!$B$9),1,0)</f>
        <v>0</v>
      </c>
      <c r="AB120" s="8">
        <f>IF(AND(AB$4=1,AB$3&lt;=Paramètres!$B$10,'Suivi Équipes'!$E15&gt;0,AB108&gt;='Suivi Équipes'!$E15/Paramètres!$B$9),1,0)</f>
        <v>0</v>
      </c>
      <c r="AC120" s="8">
        <f>IF(AND(AC$4=1,AC$3&lt;=Paramètres!$B$10,'Suivi Équipes'!$E15&gt;0,AC108&gt;='Suivi Équipes'!$E15/Paramètres!$B$9),1,0)</f>
        <v>0</v>
      </c>
      <c r="AD120" s="8">
        <f>IF(AND(AD$4=1,AD$3&lt;=Paramètres!$B$10,'Suivi Équipes'!$E15&gt;0,AD108&gt;='Suivi Équipes'!$E15/Paramètres!$B$9),1,0)</f>
        <v>0</v>
      </c>
      <c r="AE120" s="8">
        <f>IF(AND(AE$4=1,AE$3&lt;=Paramètres!$B$10,'Suivi Équipes'!$E15&gt;0,AE108&gt;='Suivi Équipes'!$E15/Paramètres!$B$9),1,0)</f>
        <v>0</v>
      </c>
      <c r="AF120" s="8">
        <f>IF(AND(AF$4=1,AF$3&lt;=Paramètres!$B$10,'Suivi Équipes'!$E15&gt;0,AF108&gt;='Suivi Équipes'!$E15/Paramètres!$B$9),1,0)</f>
        <v>0</v>
      </c>
      <c r="AG120" s="8">
        <f>IF(AND(AG$4=1,AG$3&lt;=Paramètres!$B$10,'Suivi Équipes'!$E15&gt;0,AG108&gt;='Suivi Équipes'!$E15/Paramètres!$B$9),1,0)</f>
        <v>0</v>
      </c>
      <c r="AH120" s="8">
        <f>IF(AND(AH$4=1,AH$3&lt;=Paramètres!$B$10,'Suivi Équipes'!$E15&gt;0,AH108&gt;='Suivi Équipes'!$E15/Paramètres!$B$9),1,0)</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Règlement</vt:lpstr>
      <vt:lpstr>Paramètres</vt:lpstr>
      <vt:lpstr>Saisie B2C</vt:lpstr>
      <vt:lpstr>Saisie B2B</vt:lpstr>
      <vt:lpstr>Tableau du jour</vt:lpstr>
      <vt:lpstr>Suivi Agents</vt:lpstr>
      <vt:lpstr>Suivi Équipes</vt:lpstr>
      <vt:lpstr>Classement</vt:lpstr>
      <vt:lpstr>Budget</vt:lpstr>
      <vt:lpstr>Calcul quotidien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Gaudens Romain ZOCLI</cp:lastModifiedBy>
  <cp:revision>0</cp:revision>
  <dcterms:created xsi:type="dcterms:W3CDTF">2026-10-08T11:59:00Z</dcterms:created>
  <dcterms:modified xsi:type="dcterms:W3CDTF">2026-10-14T07:31:35Z</dcterms:modified>
  <dc:language>en-US</dc:language>
</cp:coreProperties>
</file>